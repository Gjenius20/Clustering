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Asli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<sst xmlns="http://schemas.openxmlformats.org/spreadsheetml/2006/main" count="599" uniqueCount="145">
  <si>
    <t>Timestamp</t>
  </si>
  <si>
    <t>Email Address</t>
  </si>
  <si>
    <t>Nama</t>
  </si>
  <si>
    <t>Angkatan</t>
  </si>
  <si>
    <t>Pengeluaran Transportasi per Sekali Perjalanan ke Kampus
Berapa rata-rata pengeluaran yang Anda keluarkan untuk transportasi dalam satu kali perjalanan ke kampus?
(termasuk bensin, ojek online, transportasi umum, parkir, dan lain-lain)</t>
  </si>
  <si>
    <t>Pengeluaran Konsumsi per Sekali Makan
Berapa rata-rata pengeluaran Anda untuk makan dan minum dalam satu kali makan?</t>
  </si>
  <si>
    <t>Pengeluaran Hiburan per Sekali Pengeluaran
Berapa rata-rata pengeluaran Anda untuk hiburan dalam satu kali kegiatan hiburan?
(termasuk nongkrong di kafe, bioskop, top up game, dan lain-lain)</t>
  </si>
  <si>
    <t>Pengeluaran Komunikasi per Sekali Pembelian
Berapa rata-rata pengeluaran Anda untuk kebutuhan komunikasi dan internet dalam satu kali pembelian?
(termasuk pulsa, paket data, dan layanan internet lainnya)</t>
  </si>
  <si>
    <t>aghif1126@gmail.com</t>
  </si>
  <si>
    <t xml:space="preserve">Novan Arrijal Ghifari Hakim </t>
  </si>
  <si>
    <t>Rp10.000 – Rp20.000</t>
  </si>
  <si>
    <t>&lt; Rp10.000</t>
  </si>
  <si>
    <t>&gt; Rp50.000</t>
  </si>
  <si>
    <t>dzakwanhibrizi20@gmail.com</t>
  </si>
  <si>
    <t>Dzakwan</t>
  </si>
  <si>
    <t>Rp21.000 – Rp35.000</t>
  </si>
  <si>
    <t>mfuadh18@student.upi.edu</t>
  </si>
  <si>
    <t xml:space="preserve">Muhammad Fuad Hadziq </t>
  </si>
  <si>
    <t>Rp36.000 – Rp50.000</t>
  </si>
  <si>
    <t>adibrafli37@gmail.com</t>
  </si>
  <si>
    <t>Moh. Rafli Dwi Saputra</t>
  </si>
  <si>
    <t>daffasafaraz2006@gmail.com</t>
  </si>
  <si>
    <t>Muhammad Daffa Safaraz</t>
  </si>
  <si>
    <t>zorariyadhuljinnan2006@gmail.com</t>
  </si>
  <si>
    <t>Zora Riyadhul Jinan</t>
  </si>
  <si>
    <t>muhammaddzaka@student.upi.edu</t>
  </si>
  <si>
    <t>Muhammad Dzaka</t>
  </si>
  <si>
    <t>salwaoktaherliana@student.upi.edu</t>
  </si>
  <si>
    <t>Salwa</t>
  </si>
  <si>
    <t>haddifauzan49@gmail.com</t>
  </si>
  <si>
    <t xml:space="preserve">Haddi Fauzan Nurrosid </t>
  </si>
  <si>
    <t>nazhwaazahra@student.upi.edu</t>
  </si>
  <si>
    <t>nazhwa sava azahra</t>
  </si>
  <si>
    <t>khozinul.08@gmail.com</t>
  </si>
  <si>
    <t>Khozinul Ilmi</t>
  </si>
  <si>
    <t>rifaljelani2@gmail.com</t>
  </si>
  <si>
    <t xml:space="preserve">Rifal Hafidz Jaelani </t>
  </si>
  <si>
    <t>zaldinugraha2020@gmail.com</t>
  </si>
  <si>
    <t>Muhamad zaldi nugraha</t>
  </si>
  <si>
    <t>ratulintang18@student.upi.edu</t>
  </si>
  <si>
    <t>ratuw</t>
  </si>
  <si>
    <t>mradhyputra@student.upi.edu</t>
  </si>
  <si>
    <t>Adi Tri Saputra</t>
  </si>
  <si>
    <t>rihanafsaw@gmail.com</t>
  </si>
  <si>
    <t xml:space="preserve">windi rihanafsa </t>
  </si>
  <si>
    <t>daffaabil2921@gmail.com</t>
  </si>
  <si>
    <t>Daffa fauzan</t>
  </si>
  <si>
    <t>pp@gmail.com</t>
  </si>
  <si>
    <t>PZA</t>
  </si>
  <si>
    <t>afiff1283@gmail.com</t>
  </si>
  <si>
    <t>Afif Fadilah Rahman</t>
  </si>
  <si>
    <t>elbimadwi@gmail.com</t>
  </si>
  <si>
    <t xml:space="preserve">Elbima Dwiputra Hardy </t>
  </si>
  <si>
    <t>allhartawan72@gmail.com</t>
  </si>
  <si>
    <t>ALL HARTAWAN</t>
  </si>
  <si>
    <t>raffiakbar8jun@gmail.com</t>
  </si>
  <si>
    <t xml:space="preserve">Raffi Akbar Ardiansyah </t>
  </si>
  <si>
    <t>daffaakhdan507@gmail.com</t>
  </si>
  <si>
    <t>Daffa Akhdan Andetri</t>
  </si>
  <si>
    <t>reivanivellika07@gmail.com</t>
  </si>
  <si>
    <t>Reivani</t>
  </si>
  <si>
    <t>dhianovaariq@gmail.com</t>
  </si>
  <si>
    <t>Ariq</t>
  </si>
  <si>
    <t>daffamuttaqin2307@student.upi.edu</t>
  </si>
  <si>
    <t>Daffa Muttaqin</t>
  </si>
  <si>
    <t>mzahidalfatih07@gmail.com</t>
  </si>
  <si>
    <t>Kgs M Zahid Al Fatih</t>
  </si>
  <si>
    <t>aryadirahmanrazan@gmail.com</t>
  </si>
  <si>
    <t>Aryadi Rahman Razan</t>
  </si>
  <si>
    <t>alvinaaaaa00@gmail.com</t>
  </si>
  <si>
    <t>Alvina</t>
  </si>
  <si>
    <t>misteriusus2@gmail.commm</t>
  </si>
  <si>
    <t>bahlil ganteng</t>
  </si>
  <si>
    <t>angkatan jokowi</t>
  </si>
  <si>
    <t>jitnisitni@gmail.com</t>
  </si>
  <si>
    <t>M Zidni A</t>
  </si>
  <si>
    <t>debbyamanda462@gmail.com</t>
  </si>
  <si>
    <t>Amanda Debby</t>
  </si>
  <si>
    <t>aufaaadrianto7@gmail.com</t>
  </si>
  <si>
    <t>Aufaa Prie Adrianto</t>
  </si>
  <si>
    <t>akmalviona29@gmail.com</t>
  </si>
  <si>
    <t>Akmal Mahesa Ruhyana</t>
  </si>
  <si>
    <t>tuskapratama85@gmail.com</t>
  </si>
  <si>
    <t>Tuska Pratama</t>
  </si>
  <si>
    <t>revandikaputra@student.upi.edu</t>
  </si>
  <si>
    <t xml:space="preserve">Revandika putra </t>
  </si>
  <si>
    <t>2025/2026</t>
  </si>
  <si>
    <t>balhan.armenia1@student.upi.edu</t>
  </si>
  <si>
    <t xml:space="preserve">Balhan Armenia </t>
  </si>
  <si>
    <t>nisanuraz@student.upi.edu</t>
  </si>
  <si>
    <t xml:space="preserve">Nisa Nur Azizah </t>
  </si>
  <si>
    <t>daaniys.aqila@gmail.com</t>
  </si>
  <si>
    <t>d</t>
  </si>
  <si>
    <t>bahauddinsauqi16@gmail.com</t>
  </si>
  <si>
    <t>Oki</t>
  </si>
  <si>
    <t>gummy2047@gmail.com</t>
  </si>
  <si>
    <t>Raffi</t>
  </si>
  <si>
    <t>givenalyusuf@student.upi.edu</t>
  </si>
  <si>
    <t>Given Al Yusuf</t>
  </si>
  <si>
    <t>dedesrasy@gmail.com</t>
  </si>
  <si>
    <t xml:space="preserve">Dede Syaifatullah Rasyidin </t>
  </si>
  <si>
    <t>prawirarizki2.0@gmail.com</t>
  </si>
  <si>
    <t>Prawira Rizki Maulana</t>
  </si>
  <si>
    <t>thareqhanne@student.upi.edu</t>
  </si>
  <si>
    <t>Mohamad Thareq Hanne</t>
  </si>
  <si>
    <t>thundahchicken0@gmail.com</t>
  </si>
  <si>
    <t>Zahid abdul majid</t>
  </si>
  <si>
    <t>virdiyantiadinda15@gmail.com</t>
  </si>
  <si>
    <t>Virdianti Adinda</t>
  </si>
  <si>
    <t>yuzzianazhar@gmail.com</t>
  </si>
  <si>
    <t xml:space="preserve">Zuyyi </t>
  </si>
  <si>
    <t>bangsabsabili@gmail.com</t>
  </si>
  <si>
    <t>Sabili Mardhotillah Romdhani</t>
  </si>
  <si>
    <t>isnaenihidayatulashifa@student.upi.edu</t>
  </si>
  <si>
    <t>Isna</t>
  </si>
  <si>
    <t>ollicffy@student.upi.edu</t>
  </si>
  <si>
    <t>Sgt</t>
  </si>
  <si>
    <t>bigamour19@gmail.com</t>
  </si>
  <si>
    <t>Evergereen</t>
  </si>
  <si>
    <t>zahraateltline@student.upi.edu</t>
  </si>
  <si>
    <t xml:space="preserve">Zahra'Ateltline Mufidah </t>
  </si>
  <si>
    <t>winathaallya@gmail.com</t>
  </si>
  <si>
    <t>indah a winatha</t>
  </si>
  <si>
    <t>vaniahissana@gmail.com</t>
  </si>
  <si>
    <t>Vania Hissana Khaerunnisa</t>
  </si>
  <si>
    <t>abiyu.zafran1707@gmail.com</t>
  </si>
  <si>
    <t>Abiyu Zafran</t>
  </si>
  <si>
    <t>Iterasi 1</t>
  </si>
  <si>
    <t>Centroid Awal</t>
  </si>
  <si>
    <t>A</t>
  </si>
  <si>
    <t>B</t>
  </si>
  <si>
    <t>C</t>
  </si>
  <si>
    <t>D</t>
  </si>
  <si>
    <t>a</t>
  </si>
  <si>
    <t>b</t>
  </si>
  <si>
    <t>c</t>
  </si>
  <si>
    <t>c1</t>
  </si>
  <si>
    <t>Euclid range</t>
  </si>
  <si>
    <t>centroid baru</t>
  </si>
  <si>
    <t>c2</t>
  </si>
  <si>
    <t>c3</t>
  </si>
  <si>
    <t>c4</t>
  </si>
  <si>
    <t>c5</t>
  </si>
  <si>
    <t>Kelas</t>
  </si>
  <si>
    <t>Rataan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</si>
</sst>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\ h:mm:ss"/>
  </numFmts>
  <fonts count="10">
    <font>
      <sz val="10.0"/>
      <color rgb="FF000000"/>
      <name val="Arial"/>
      <scheme val="minor"/>
    </font>
    <font>
      <sz val="11.0"/>
      <color theme="1"/>
      <name val="Arial"/>
    </font>
    <font>
      <color theme="1"/>
      <name val="Arial"/>
    </font>
    <font>
      <color theme="1"/>
      <name val="Arial"/>
      <scheme val="minor"/>
    </font>
    <font>
      <sz val="11.0"/>
      <color rgb="FF006600"/>
      <name val="Arial"/>
    </font>
    <font>
      <sz val="10.0"/>
      <color rgb="FF006600"/>
      <name val="Arial"/>
    </font>
    <font>
      <sz val="10.0"/>
      <color rgb="FF000000"/>
      <name val="Arial"/>
    </font>
    <font/>
    <font>
      <b/>
      <sz val="10.0"/>
      <color rgb="FFFFFFFF"/>
      <name val="Arial"/>
    </font>
    <font>
      <b/>
      <sz val="10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CCFFCC"/>
        <bgColor rgb="FFCCFFCC"/>
      </patternFill>
    </fill>
    <fill>
      <patternFill patternType="solid">
        <fgColor rgb="FF81D41A"/>
        <bgColor rgb="FF81D41A"/>
      </patternFill>
    </fill>
    <fill>
      <patternFill patternType="solid">
        <fgColor rgb="FFDDDDDD"/>
        <bgColor rgb="FFDDDDDD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</fills>
  <borders count="4">
    <border/>
    <border>
      <left/>
      <right/>
      <top/>
      <bottom/>
    </border>
    <border>
      <left/>
      <top/>
      <bottom/>
    </border>
    <border>
      <top/>
      <bottom/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shrinkToFit="0" vertical="center" wrapText="1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Font="1"/>
    <xf borderId="0" fillId="0" fontId="3" numFmtId="0" xfId="0" applyAlignment="1" applyFont="1">
      <alignment readingOrder="0"/>
    </xf>
    <xf borderId="1" fillId="2" fontId="4" numFmtId="0" xfId="0" applyAlignment="1" applyBorder="1" applyFill="1" applyFont="1">
      <alignment horizontal="center" shrinkToFit="0" vertical="bottom" wrapText="0"/>
    </xf>
    <xf borderId="1" fillId="2" fontId="5" numFmtId="0" xfId="0" applyAlignment="1" applyBorder="1" applyFont="1">
      <alignment horizontal="center" shrinkToFit="0" vertical="bottom" wrapText="0"/>
    </xf>
    <xf borderId="0" fillId="0" fontId="6" numFmtId="0" xfId="0" applyAlignment="1" applyFont="1">
      <alignment horizontal="center" shrinkToFit="0" vertical="bottom" wrapText="0"/>
    </xf>
    <xf borderId="1" fillId="3" fontId="6" numFmtId="0" xfId="0" applyAlignment="1" applyBorder="1" applyFill="1" applyFont="1">
      <alignment horizontal="center" shrinkToFit="0" vertical="bottom" wrapText="0"/>
    </xf>
    <xf borderId="2" fillId="4" fontId="6" numFmtId="0" xfId="0" applyAlignment="1" applyBorder="1" applyFill="1" applyFont="1">
      <alignment horizontal="center" shrinkToFit="0" vertical="bottom" wrapText="0"/>
    </xf>
    <xf borderId="3" fillId="0" fontId="7" numFmtId="0" xfId="0" applyBorder="1" applyFont="1"/>
    <xf borderId="2" fillId="5" fontId="8" numFmtId="0" xfId="0" applyAlignment="1" applyBorder="1" applyFill="1" applyFont="1">
      <alignment horizontal="center" shrinkToFit="0" vertical="bottom" wrapText="0"/>
    </xf>
    <xf borderId="1" fillId="4" fontId="6" numFmtId="0" xfId="0" applyAlignment="1" applyBorder="1" applyFont="1">
      <alignment horizontal="left" shrinkToFit="0" vertical="bottom" wrapText="0"/>
    </xf>
    <xf borderId="1" fillId="5" fontId="8" numFmtId="0" xfId="0" applyAlignment="1" applyBorder="1" applyFont="1">
      <alignment shrinkToFit="0" vertical="bottom" wrapText="0"/>
    </xf>
    <xf borderId="1" fillId="3" fontId="6" numFmtId="0" xfId="0" applyAlignment="1" applyBorder="1" applyFont="1">
      <alignment horizontal="center" readingOrder="0" shrinkToFit="0" vertical="bottom" wrapText="0"/>
    </xf>
    <xf borderId="1" fillId="6" fontId="6" numFmtId="0" xfId="0" applyAlignment="1" applyBorder="1" applyFill="1" applyFont="1">
      <alignment horizontal="center" shrinkToFit="0" vertical="bottom" wrapText="0"/>
    </xf>
    <xf borderId="1" fillId="6" fontId="6" numFmtId="0" xfId="0" applyAlignment="1" applyBorder="1" applyFont="1">
      <alignment shrinkToFit="0" vertical="bottom" wrapText="0"/>
    </xf>
    <xf borderId="1" fillId="6" fontId="9" numFmtId="0" xfId="0" applyAlignment="1" applyBorder="1" applyFont="1">
      <alignment horizontal="center" shrinkToFit="0" vertical="bottom" wrapText="0"/>
    </xf>
    <xf borderId="1" fillId="6" fontId="9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4" width="18.88"/>
    <col customWidth="1" min="5" max="8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22.5" customHeight="1">
      <c r="A2" s="3">
        <v>46164.7549983449</v>
      </c>
      <c r="B2" s="4" t="s">
        <v>8</v>
      </c>
      <c r="C2" s="4" t="s">
        <v>9</v>
      </c>
      <c r="D2" s="4">
        <v>25.0</v>
      </c>
      <c r="E2" s="4" t="s">
        <v>10</v>
      </c>
      <c r="F2" s="4" t="s">
        <v>10</v>
      </c>
      <c r="G2" s="4" t="s">
        <v>11</v>
      </c>
      <c r="H2" s="4" t="s">
        <v>12</v>
      </c>
    </row>
    <row r="3" ht="22.5" customHeight="1">
      <c r="A3" s="3">
        <v>46164.7566084722</v>
      </c>
      <c r="B3" s="4" t="s">
        <v>13</v>
      </c>
      <c r="C3" s="4" t="s">
        <v>14</v>
      </c>
      <c r="D3" s="4">
        <v>25.0</v>
      </c>
      <c r="E3" s="4" t="s">
        <v>11</v>
      </c>
      <c r="F3" s="4" t="s">
        <v>15</v>
      </c>
      <c r="G3" s="4" t="s">
        <v>12</v>
      </c>
      <c r="H3" s="4" t="s">
        <v>12</v>
      </c>
    </row>
    <row r="4" ht="22.5" customHeight="1">
      <c r="A4" s="3">
        <v>46164.7574488194</v>
      </c>
      <c r="B4" s="4" t="s">
        <v>16</v>
      </c>
      <c r="C4" s="4" t="s">
        <v>17</v>
      </c>
      <c r="D4" s="4">
        <v>2025.0</v>
      </c>
      <c r="E4" s="4" t="s">
        <v>11</v>
      </c>
      <c r="F4" s="4" t="s">
        <v>15</v>
      </c>
      <c r="G4" s="4" t="s">
        <v>18</v>
      </c>
      <c r="H4" s="4" t="s">
        <v>12</v>
      </c>
    </row>
    <row r="5" ht="22.5" customHeight="1">
      <c r="A5" s="3">
        <v>46164.7583595602</v>
      </c>
      <c r="B5" s="4" t="s">
        <v>19</v>
      </c>
      <c r="C5" s="4" t="s">
        <v>20</v>
      </c>
      <c r="D5" s="4">
        <v>2025.0</v>
      </c>
      <c r="E5" s="4" t="s">
        <v>11</v>
      </c>
      <c r="F5" s="4" t="s">
        <v>10</v>
      </c>
      <c r="G5" s="4" t="s">
        <v>15</v>
      </c>
      <c r="H5" s="4" t="s">
        <v>15</v>
      </c>
    </row>
    <row r="6" ht="22.5" customHeight="1">
      <c r="A6" s="3">
        <v>46164.7593325</v>
      </c>
      <c r="B6" s="4" t="s">
        <v>21</v>
      </c>
      <c r="C6" s="4" t="s">
        <v>22</v>
      </c>
      <c r="D6" s="4">
        <v>2025.0</v>
      </c>
      <c r="E6" s="4" t="s">
        <v>11</v>
      </c>
      <c r="F6" s="4" t="s">
        <v>10</v>
      </c>
      <c r="G6" s="4" t="s">
        <v>15</v>
      </c>
      <c r="H6" s="4" t="s">
        <v>12</v>
      </c>
    </row>
    <row r="7" ht="22.5" customHeight="1">
      <c r="A7" s="3">
        <v>46164.7637385185</v>
      </c>
      <c r="B7" s="4" t="s">
        <v>23</v>
      </c>
      <c r="C7" s="4" t="s">
        <v>24</v>
      </c>
      <c r="D7" s="4">
        <v>25.0</v>
      </c>
      <c r="E7" s="4" t="s">
        <v>11</v>
      </c>
      <c r="F7" s="4" t="s">
        <v>18</v>
      </c>
      <c r="G7" s="4" t="s">
        <v>12</v>
      </c>
      <c r="H7" s="4" t="s">
        <v>12</v>
      </c>
    </row>
    <row r="8" ht="22.5" customHeight="1">
      <c r="A8" s="3">
        <v>46164.7641195023</v>
      </c>
      <c r="B8" s="4" t="s">
        <v>25</v>
      </c>
      <c r="C8" s="4" t="s">
        <v>26</v>
      </c>
      <c r="D8" s="4">
        <v>2025.0</v>
      </c>
      <c r="E8" s="4" t="s">
        <v>11</v>
      </c>
      <c r="F8" s="4" t="s">
        <v>15</v>
      </c>
      <c r="G8" s="4" t="s">
        <v>11</v>
      </c>
      <c r="H8" s="4" t="s">
        <v>12</v>
      </c>
    </row>
    <row r="9" ht="22.5" customHeight="1">
      <c r="A9" s="3">
        <v>46164.7642834491</v>
      </c>
      <c r="B9" s="4" t="s">
        <v>27</v>
      </c>
      <c r="C9" s="4" t="s">
        <v>28</v>
      </c>
      <c r="D9" s="4">
        <v>2025.0</v>
      </c>
      <c r="E9" s="4" t="s">
        <v>11</v>
      </c>
      <c r="F9" s="4" t="s">
        <v>10</v>
      </c>
      <c r="G9" s="4" t="s">
        <v>12</v>
      </c>
      <c r="H9" s="4" t="s">
        <v>10</v>
      </c>
    </row>
    <row r="10" ht="22.5" customHeight="1">
      <c r="A10" s="3">
        <v>46164.7668250347</v>
      </c>
      <c r="B10" s="4" t="s">
        <v>29</v>
      </c>
      <c r="C10" s="4" t="s">
        <v>30</v>
      </c>
      <c r="D10" s="4">
        <v>2025.0</v>
      </c>
      <c r="E10" s="4" t="s">
        <v>11</v>
      </c>
      <c r="F10" s="4" t="s">
        <v>10</v>
      </c>
      <c r="G10" s="4" t="s">
        <v>18</v>
      </c>
      <c r="H10" s="4" t="s">
        <v>12</v>
      </c>
    </row>
    <row r="11" ht="22.5" customHeight="1">
      <c r="A11" s="3">
        <v>46164.767465463</v>
      </c>
      <c r="B11" s="4" t="s">
        <v>31</v>
      </c>
      <c r="C11" s="4" t="s">
        <v>32</v>
      </c>
      <c r="D11" s="4">
        <v>25.0</v>
      </c>
      <c r="E11" s="4" t="s">
        <v>15</v>
      </c>
      <c r="F11" s="4" t="s">
        <v>10</v>
      </c>
      <c r="G11" s="4" t="s">
        <v>12</v>
      </c>
      <c r="H11" s="4" t="s">
        <v>15</v>
      </c>
    </row>
    <row r="12" ht="22.5" customHeight="1">
      <c r="A12" s="3">
        <v>46164.7681065162</v>
      </c>
      <c r="B12" s="4" t="s">
        <v>33</v>
      </c>
      <c r="C12" s="4" t="s">
        <v>34</v>
      </c>
      <c r="D12" s="4">
        <v>25.0</v>
      </c>
      <c r="E12" s="4" t="s">
        <v>11</v>
      </c>
      <c r="F12" s="4" t="s">
        <v>15</v>
      </c>
      <c r="G12" s="4" t="s">
        <v>18</v>
      </c>
      <c r="H12" s="4" t="s">
        <v>18</v>
      </c>
    </row>
    <row r="13" ht="22.5" customHeight="1">
      <c r="A13" s="3">
        <v>46164.7694663773</v>
      </c>
      <c r="B13" s="4" t="s">
        <v>35</v>
      </c>
      <c r="C13" s="4" t="s">
        <v>36</v>
      </c>
      <c r="D13" s="4">
        <v>25.0</v>
      </c>
      <c r="E13" s="4" t="s">
        <v>10</v>
      </c>
      <c r="F13" s="4" t="s">
        <v>10</v>
      </c>
      <c r="G13" s="4" t="s">
        <v>15</v>
      </c>
      <c r="H13" s="4" t="s">
        <v>15</v>
      </c>
    </row>
    <row r="14" ht="22.5" customHeight="1">
      <c r="A14" s="3">
        <v>46164.7701741204</v>
      </c>
      <c r="B14" s="4" t="s">
        <v>37</v>
      </c>
      <c r="C14" s="4" t="s">
        <v>38</v>
      </c>
      <c r="D14" s="4">
        <v>2025.0</v>
      </c>
      <c r="E14" s="4" t="s">
        <v>10</v>
      </c>
      <c r="F14" s="4" t="s">
        <v>10</v>
      </c>
      <c r="G14" s="4" t="s">
        <v>18</v>
      </c>
      <c r="H14" s="4" t="s">
        <v>15</v>
      </c>
    </row>
    <row r="15" ht="22.5" customHeight="1">
      <c r="A15" s="3">
        <v>46164.7704228125</v>
      </c>
      <c r="B15" s="4" t="s">
        <v>39</v>
      </c>
      <c r="C15" s="4" t="s">
        <v>40</v>
      </c>
      <c r="D15" s="4">
        <v>25.0</v>
      </c>
      <c r="E15" s="4" t="s">
        <v>11</v>
      </c>
      <c r="F15" s="4" t="s">
        <v>15</v>
      </c>
      <c r="G15" s="4" t="s">
        <v>12</v>
      </c>
      <c r="H15" s="4" t="s">
        <v>18</v>
      </c>
    </row>
    <row r="16" ht="22.5" customHeight="1">
      <c r="A16" s="3">
        <v>46164.7707897801</v>
      </c>
      <c r="B16" s="4" t="s">
        <v>41</v>
      </c>
      <c r="C16" s="4" t="s">
        <v>42</v>
      </c>
      <c r="D16" s="4">
        <v>25.0</v>
      </c>
      <c r="E16" s="4" t="s">
        <v>11</v>
      </c>
      <c r="F16" s="4" t="s">
        <v>10</v>
      </c>
      <c r="G16" s="4" t="s">
        <v>12</v>
      </c>
      <c r="H16" s="4" t="s">
        <v>18</v>
      </c>
    </row>
    <row r="17" ht="22.5" customHeight="1">
      <c r="A17" s="3">
        <v>46164.7713426852</v>
      </c>
      <c r="B17" s="4" t="s">
        <v>43</v>
      </c>
      <c r="C17" s="4" t="s">
        <v>44</v>
      </c>
      <c r="D17" s="4">
        <v>2025.0</v>
      </c>
      <c r="E17" s="4" t="s">
        <v>11</v>
      </c>
      <c r="F17" s="4" t="s">
        <v>10</v>
      </c>
      <c r="G17" s="4" t="s">
        <v>12</v>
      </c>
      <c r="H17" s="4" t="s">
        <v>10</v>
      </c>
    </row>
    <row r="18" ht="22.5" customHeight="1">
      <c r="A18" s="3">
        <v>46164.7721018056</v>
      </c>
      <c r="B18" s="4" t="s">
        <v>45</v>
      </c>
      <c r="C18" s="4" t="s">
        <v>46</v>
      </c>
      <c r="D18" s="4">
        <v>25.0</v>
      </c>
      <c r="E18" s="4" t="s">
        <v>18</v>
      </c>
      <c r="F18" s="4" t="s">
        <v>15</v>
      </c>
      <c r="G18" s="4" t="s">
        <v>12</v>
      </c>
      <c r="H18" s="4" t="s">
        <v>12</v>
      </c>
    </row>
    <row r="19" ht="22.5" customHeight="1">
      <c r="A19" s="3">
        <v>46164.7743944213</v>
      </c>
      <c r="B19" s="4" t="s">
        <v>47</v>
      </c>
      <c r="C19" s="4" t="s">
        <v>48</v>
      </c>
      <c r="D19" s="4">
        <v>2025.0</v>
      </c>
      <c r="E19" s="4" t="s">
        <v>11</v>
      </c>
      <c r="F19" s="4" t="s">
        <v>10</v>
      </c>
      <c r="G19" s="4" t="s">
        <v>12</v>
      </c>
      <c r="H19" s="4" t="s">
        <v>12</v>
      </c>
    </row>
    <row r="20" ht="22.5" customHeight="1">
      <c r="A20" s="3">
        <v>46164.7757455787</v>
      </c>
      <c r="B20" s="4" t="s">
        <v>49</v>
      </c>
      <c r="C20" s="4" t="s">
        <v>50</v>
      </c>
      <c r="D20" s="4">
        <v>2025.0</v>
      </c>
      <c r="E20" s="4" t="s">
        <v>11</v>
      </c>
      <c r="F20" s="4" t="s">
        <v>10</v>
      </c>
      <c r="G20" s="4" t="s">
        <v>15</v>
      </c>
      <c r="H20" s="4" t="s">
        <v>12</v>
      </c>
    </row>
    <row r="21" ht="22.5" customHeight="1">
      <c r="A21" s="3">
        <v>46164.77863375</v>
      </c>
      <c r="B21" s="4" t="s">
        <v>51</v>
      </c>
      <c r="C21" s="4" t="s">
        <v>52</v>
      </c>
      <c r="D21" s="4">
        <v>2025.0</v>
      </c>
      <c r="E21" s="4" t="s">
        <v>11</v>
      </c>
      <c r="F21" s="4" t="s">
        <v>18</v>
      </c>
      <c r="G21" s="4" t="s">
        <v>12</v>
      </c>
      <c r="H21" s="4" t="s">
        <v>12</v>
      </c>
    </row>
    <row r="22" ht="22.5" customHeight="1">
      <c r="A22" s="3">
        <v>46164.7796231829</v>
      </c>
      <c r="B22" s="4" t="s">
        <v>53</v>
      </c>
      <c r="C22" s="4" t="s">
        <v>54</v>
      </c>
      <c r="D22" s="4">
        <v>25.0</v>
      </c>
      <c r="E22" s="4" t="s">
        <v>18</v>
      </c>
      <c r="F22" s="4" t="s">
        <v>10</v>
      </c>
      <c r="G22" s="4" t="s">
        <v>11</v>
      </c>
      <c r="H22" s="4" t="s">
        <v>18</v>
      </c>
    </row>
    <row r="23" ht="22.5" customHeight="1">
      <c r="A23" s="3">
        <v>46164.7824297454</v>
      </c>
      <c r="B23" s="4" t="s">
        <v>55</v>
      </c>
      <c r="C23" s="4" t="s">
        <v>56</v>
      </c>
      <c r="D23" s="4">
        <v>2025.0</v>
      </c>
      <c r="E23" s="4" t="s">
        <v>15</v>
      </c>
      <c r="F23" s="4" t="s">
        <v>15</v>
      </c>
      <c r="G23" s="4" t="s">
        <v>15</v>
      </c>
      <c r="H23" s="4" t="s">
        <v>18</v>
      </c>
    </row>
    <row r="24" ht="22.5" customHeight="1">
      <c r="A24" s="3">
        <v>46164.7847798958</v>
      </c>
      <c r="B24" s="4" t="s">
        <v>57</v>
      </c>
      <c r="C24" s="4" t="s">
        <v>58</v>
      </c>
      <c r="D24" s="4">
        <v>2025.0</v>
      </c>
      <c r="E24" s="4" t="s">
        <v>11</v>
      </c>
      <c r="F24" s="4" t="s">
        <v>11</v>
      </c>
      <c r="G24" s="4" t="s">
        <v>10</v>
      </c>
      <c r="H24" s="4" t="s">
        <v>18</v>
      </c>
    </row>
    <row r="25" ht="22.5" customHeight="1">
      <c r="A25" s="3">
        <v>46164.7857074653</v>
      </c>
      <c r="B25" s="4" t="s">
        <v>59</v>
      </c>
      <c r="C25" s="4" t="s">
        <v>60</v>
      </c>
      <c r="D25" s="4">
        <v>25.0</v>
      </c>
      <c r="E25" s="4" t="s">
        <v>11</v>
      </c>
      <c r="F25" s="4" t="s">
        <v>10</v>
      </c>
      <c r="G25" s="4" t="s">
        <v>12</v>
      </c>
      <c r="H25" s="4" t="s">
        <v>18</v>
      </c>
    </row>
    <row r="26" ht="22.5" customHeight="1">
      <c r="A26" s="3">
        <v>46164.7893456482</v>
      </c>
      <c r="B26" s="4" t="s">
        <v>61</v>
      </c>
      <c r="C26" s="4" t="s">
        <v>62</v>
      </c>
      <c r="D26" s="4">
        <v>25.0</v>
      </c>
      <c r="E26" s="4" t="s">
        <v>10</v>
      </c>
      <c r="F26" s="4" t="s">
        <v>15</v>
      </c>
      <c r="G26" s="4" t="s">
        <v>15</v>
      </c>
      <c r="H26" s="4" t="s">
        <v>15</v>
      </c>
    </row>
    <row r="27" ht="22.5" customHeight="1">
      <c r="A27" s="3">
        <v>46164.7899791435</v>
      </c>
      <c r="B27" s="4" t="s">
        <v>63</v>
      </c>
      <c r="C27" s="4" t="s">
        <v>64</v>
      </c>
      <c r="D27" s="4">
        <v>25.0</v>
      </c>
      <c r="E27" s="4" t="s">
        <v>11</v>
      </c>
      <c r="F27" s="4" t="s">
        <v>10</v>
      </c>
      <c r="G27" s="4" t="s">
        <v>15</v>
      </c>
      <c r="H27" s="4" t="s">
        <v>12</v>
      </c>
    </row>
    <row r="28" ht="22.5" customHeight="1">
      <c r="A28" s="3">
        <v>46164.7908180324</v>
      </c>
      <c r="B28" s="4" t="s">
        <v>65</v>
      </c>
      <c r="C28" s="4" t="s">
        <v>66</v>
      </c>
      <c r="D28" s="4">
        <v>2025.0</v>
      </c>
      <c r="E28" s="4" t="s">
        <v>11</v>
      </c>
      <c r="F28" s="4" t="s">
        <v>10</v>
      </c>
      <c r="G28" s="4" t="s">
        <v>18</v>
      </c>
      <c r="H28" s="4" t="s">
        <v>18</v>
      </c>
    </row>
    <row r="29" ht="22.5" customHeight="1">
      <c r="A29" s="3">
        <v>46164.7912565972</v>
      </c>
      <c r="B29" s="4" t="s">
        <v>67</v>
      </c>
      <c r="C29" s="4" t="s">
        <v>68</v>
      </c>
      <c r="D29" s="4">
        <v>25.0</v>
      </c>
      <c r="E29" s="4" t="s">
        <v>11</v>
      </c>
      <c r="F29" s="4" t="s">
        <v>10</v>
      </c>
      <c r="G29" s="4" t="s">
        <v>10</v>
      </c>
      <c r="H29" s="4" t="s">
        <v>12</v>
      </c>
    </row>
    <row r="30" ht="22.5" customHeight="1">
      <c r="A30" s="3">
        <v>46164.7934169444</v>
      </c>
      <c r="B30" s="4" t="s">
        <v>69</v>
      </c>
      <c r="C30" s="4" t="s">
        <v>70</v>
      </c>
      <c r="D30" s="4">
        <v>2025.0</v>
      </c>
      <c r="E30" s="4" t="s">
        <v>11</v>
      </c>
      <c r="F30" s="4" t="s">
        <v>15</v>
      </c>
      <c r="G30" s="4" t="s">
        <v>12</v>
      </c>
      <c r="H30" s="4" t="s">
        <v>10</v>
      </c>
    </row>
    <row r="31" ht="22.5" customHeight="1">
      <c r="A31" s="3">
        <v>46164.7935156134</v>
      </c>
      <c r="B31" s="4" t="s">
        <v>71</v>
      </c>
      <c r="C31" s="4" t="s">
        <v>72</v>
      </c>
      <c r="D31" s="4" t="s">
        <v>73</v>
      </c>
      <c r="E31" s="4" t="s">
        <v>18</v>
      </c>
      <c r="F31" s="4" t="s">
        <v>18</v>
      </c>
      <c r="G31" s="4" t="s">
        <v>18</v>
      </c>
      <c r="H31" s="4" t="s">
        <v>18</v>
      </c>
    </row>
    <row r="32" ht="22.5" customHeight="1">
      <c r="A32" s="3">
        <v>46164.802452037</v>
      </c>
      <c r="B32" s="4" t="s">
        <v>74</v>
      </c>
      <c r="C32" s="4" t="s">
        <v>75</v>
      </c>
      <c r="D32" s="4">
        <v>25.0</v>
      </c>
      <c r="E32" s="4" t="s">
        <v>11</v>
      </c>
      <c r="F32" s="4" t="s">
        <v>10</v>
      </c>
      <c r="G32" s="4" t="s">
        <v>18</v>
      </c>
      <c r="H32" s="4" t="s">
        <v>15</v>
      </c>
    </row>
    <row r="33" ht="22.5" customHeight="1">
      <c r="A33" s="3">
        <v>46164.8090741088</v>
      </c>
      <c r="B33" s="4" t="s">
        <v>76</v>
      </c>
      <c r="C33" s="4" t="s">
        <v>77</v>
      </c>
      <c r="D33" s="4">
        <v>25.0</v>
      </c>
      <c r="E33" s="4" t="s">
        <v>11</v>
      </c>
      <c r="F33" s="4" t="s">
        <v>18</v>
      </c>
      <c r="G33" s="4" t="s">
        <v>12</v>
      </c>
      <c r="H33" s="4" t="s">
        <v>10</v>
      </c>
    </row>
    <row r="34" ht="22.5" customHeight="1">
      <c r="A34" s="3">
        <v>46164.8156522222</v>
      </c>
      <c r="B34" s="4" t="s">
        <v>78</v>
      </c>
      <c r="C34" s="4" t="s">
        <v>79</v>
      </c>
      <c r="D34" s="4">
        <v>2025.0</v>
      </c>
      <c r="E34" s="4" t="s">
        <v>15</v>
      </c>
      <c r="F34" s="4" t="s">
        <v>10</v>
      </c>
      <c r="G34" s="4" t="s">
        <v>15</v>
      </c>
      <c r="H34" s="4" t="s">
        <v>10</v>
      </c>
    </row>
    <row r="35" ht="22.5" customHeight="1">
      <c r="A35" s="3">
        <v>46164.8171114583</v>
      </c>
      <c r="B35" s="4" t="s">
        <v>80</v>
      </c>
      <c r="C35" s="4" t="s">
        <v>81</v>
      </c>
      <c r="D35" s="4">
        <v>2025.0</v>
      </c>
      <c r="E35" s="4" t="s">
        <v>11</v>
      </c>
      <c r="F35" s="4" t="s">
        <v>10</v>
      </c>
      <c r="G35" s="4" t="s">
        <v>11</v>
      </c>
      <c r="H35" s="4" t="s">
        <v>11</v>
      </c>
    </row>
    <row r="36" ht="22.5" customHeight="1">
      <c r="A36" s="3">
        <v>46164.8283799421</v>
      </c>
      <c r="B36" s="4" t="s">
        <v>82</v>
      </c>
      <c r="C36" s="4" t="s">
        <v>83</v>
      </c>
      <c r="D36" s="4">
        <v>2025.0</v>
      </c>
      <c r="E36" s="4" t="s">
        <v>18</v>
      </c>
      <c r="F36" s="4" t="s">
        <v>10</v>
      </c>
      <c r="G36" s="4" t="s">
        <v>12</v>
      </c>
      <c r="H36" s="4" t="s">
        <v>12</v>
      </c>
    </row>
    <row r="37" ht="22.5" customHeight="1">
      <c r="A37" s="3">
        <v>46164.8309003125</v>
      </c>
      <c r="B37" s="4" t="s">
        <v>84</v>
      </c>
      <c r="C37" s="4" t="s">
        <v>85</v>
      </c>
      <c r="D37" s="4" t="s">
        <v>86</v>
      </c>
      <c r="E37" s="4" t="s">
        <v>10</v>
      </c>
      <c r="F37" s="4" t="s">
        <v>10</v>
      </c>
      <c r="G37" s="4" t="s">
        <v>12</v>
      </c>
      <c r="H37" s="4" t="s">
        <v>12</v>
      </c>
    </row>
    <row r="38" ht="22.5" customHeight="1">
      <c r="A38" s="3">
        <v>46164.839054456</v>
      </c>
      <c r="B38" s="4" t="s">
        <v>87</v>
      </c>
      <c r="C38" s="4" t="s">
        <v>88</v>
      </c>
      <c r="D38" s="4">
        <v>2025.0</v>
      </c>
      <c r="E38" s="4" t="s">
        <v>11</v>
      </c>
      <c r="F38" s="4" t="s">
        <v>11</v>
      </c>
      <c r="G38" s="4" t="s">
        <v>15</v>
      </c>
      <c r="H38" s="4" t="s">
        <v>18</v>
      </c>
    </row>
    <row r="39" ht="22.5" customHeight="1">
      <c r="A39" s="3">
        <v>46164.8401322454</v>
      </c>
      <c r="B39" s="4" t="s">
        <v>89</v>
      </c>
      <c r="C39" s="4" t="s">
        <v>90</v>
      </c>
      <c r="D39" s="4">
        <v>2025.0</v>
      </c>
      <c r="E39" s="4" t="s">
        <v>11</v>
      </c>
      <c r="F39" s="4" t="s">
        <v>15</v>
      </c>
      <c r="G39" s="4" t="s">
        <v>18</v>
      </c>
      <c r="H39" s="4" t="s">
        <v>12</v>
      </c>
    </row>
    <row r="40" ht="22.5" customHeight="1">
      <c r="A40" s="3">
        <v>46164.8513142361</v>
      </c>
      <c r="B40" s="4" t="s">
        <v>91</v>
      </c>
      <c r="C40" s="4" t="s">
        <v>92</v>
      </c>
      <c r="D40" s="4">
        <v>25.0</v>
      </c>
      <c r="E40" s="4" t="s">
        <v>11</v>
      </c>
      <c r="F40" s="4" t="s">
        <v>15</v>
      </c>
      <c r="G40" s="4" t="s">
        <v>12</v>
      </c>
      <c r="H40" s="4" t="s">
        <v>12</v>
      </c>
    </row>
    <row r="41" ht="22.5" customHeight="1">
      <c r="A41" s="3">
        <v>46164.8748273495</v>
      </c>
      <c r="B41" s="4" t="s">
        <v>93</v>
      </c>
      <c r="C41" s="4" t="s">
        <v>94</v>
      </c>
      <c r="D41" s="4">
        <v>2025.0</v>
      </c>
      <c r="E41" s="4" t="s">
        <v>10</v>
      </c>
      <c r="F41" s="4" t="s">
        <v>11</v>
      </c>
      <c r="G41" s="4" t="s">
        <v>11</v>
      </c>
      <c r="H41" s="4" t="s">
        <v>15</v>
      </c>
    </row>
    <row r="42" ht="22.5" customHeight="1">
      <c r="A42" s="3">
        <v>46164.8848759954</v>
      </c>
      <c r="B42" s="4" t="s">
        <v>95</v>
      </c>
      <c r="C42" s="4" t="s">
        <v>96</v>
      </c>
      <c r="D42" s="4">
        <v>25.0</v>
      </c>
      <c r="E42" s="4" t="s">
        <v>15</v>
      </c>
      <c r="F42" s="4" t="s">
        <v>18</v>
      </c>
      <c r="G42" s="4" t="s">
        <v>12</v>
      </c>
      <c r="H42" s="4" t="s">
        <v>15</v>
      </c>
    </row>
    <row r="43" ht="22.5" customHeight="1">
      <c r="A43" s="3">
        <v>46164.8878625579</v>
      </c>
      <c r="B43" s="4" t="s">
        <v>97</v>
      </c>
      <c r="C43" s="4" t="s">
        <v>98</v>
      </c>
      <c r="D43" s="4">
        <v>2025.0</v>
      </c>
      <c r="E43" s="4" t="s">
        <v>11</v>
      </c>
      <c r="F43" s="4" t="s">
        <v>10</v>
      </c>
      <c r="G43" s="4" t="s">
        <v>18</v>
      </c>
      <c r="H43" s="4" t="s">
        <v>15</v>
      </c>
    </row>
    <row r="44" ht="22.5" customHeight="1">
      <c r="A44" s="3">
        <v>46164.8962777546</v>
      </c>
      <c r="B44" s="4" t="s">
        <v>99</v>
      </c>
      <c r="C44" s="4" t="s">
        <v>100</v>
      </c>
      <c r="D44" s="4">
        <v>2025.0</v>
      </c>
      <c r="E44" s="4" t="s">
        <v>11</v>
      </c>
      <c r="F44" s="4" t="s">
        <v>15</v>
      </c>
      <c r="G44" s="4" t="s">
        <v>11</v>
      </c>
      <c r="H44" s="4" t="s">
        <v>12</v>
      </c>
    </row>
    <row r="45" ht="22.5" customHeight="1">
      <c r="A45" s="3">
        <v>46164.8983511458</v>
      </c>
      <c r="B45" s="4" t="s">
        <v>101</v>
      </c>
      <c r="C45" s="4" t="s">
        <v>102</v>
      </c>
      <c r="D45" s="4">
        <v>2025.0</v>
      </c>
      <c r="E45" s="4" t="s">
        <v>15</v>
      </c>
      <c r="F45" s="4" t="s">
        <v>10</v>
      </c>
      <c r="G45" s="4" t="s">
        <v>12</v>
      </c>
      <c r="H45" s="4" t="s">
        <v>18</v>
      </c>
    </row>
    <row r="46" ht="22.5" customHeight="1">
      <c r="A46" s="3">
        <v>46164.91399375</v>
      </c>
      <c r="B46" s="4" t="s">
        <v>103</v>
      </c>
      <c r="C46" s="4" t="s">
        <v>104</v>
      </c>
      <c r="D46" s="4">
        <v>2025.0</v>
      </c>
      <c r="E46" s="4" t="s">
        <v>11</v>
      </c>
      <c r="F46" s="4" t="s">
        <v>15</v>
      </c>
      <c r="G46" s="4" t="s">
        <v>15</v>
      </c>
      <c r="H46" s="4" t="s">
        <v>18</v>
      </c>
    </row>
    <row r="47" ht="22.5" customHeight="1">
      <c r="A47" s="3">
        <v>46164.9186058681</v>
      </c>
      <c r="B47" s="4" t="s">
        <v>105</v>
      </c>
      <c r="C47" s="4" t="s">
        <v>106</v>
      </c>
      <c r="D47" s="4">
        <v>25.0</v>
      </c>
      <c r="E47" s="4" t="s">
        <v>11</v>
      </c>
      <c r="F47" s="4" t="s">
        <v>10</v>
      </c>
      <c r="G47" s="4" t="s">
        <v>12</v>
      </c>
      <c r="H47" s="4" t="s">
        <v>15</v>
      </c>
    </row>
    <row r="48" ht="22.5" customHeight="1">
      <c r="A48" s="3">
        <v>46164.9193907639</v>
      </c>
      <c r="B48" s="4" t="s">
        <v>107</v>
      </c>
      <c r="C48" s="4" t="s">
        <v>108</v>
      </c>
      <c r="D48" s="4">
        <v>2025.0</v>
      </c>
      <c r="E48" s="4" t="s">
        <v>10</v>
      </c>
      <c r="F48" s="4" t="s">
        <v>10</v>
      </c>
      <c r="G48" s="4" t="s">
        <v>18</v>
      </c>
      <c r="H48" s="4" t="s">
        <v>18</v>
      </c>
    </row>
    <row r="49" ht="22.5" customHeight="1">
      <c r="A49" s="3">
        <v>46164.9689206134</v>
      </c>
      <c r="B49" s="4" t="s">
        <v>109</v>
      </c>
      <c r="C49" s="4" t="s">
        <v>110</v>
      </c>
      <c r="D49" s="4">
        <v>25.0</v>
      </c>
      <c r="E49" s="4" t="s">
        <v>15</v>
      </c>
      <c r="F49" s="4" t="s">
        <v>15</v>
      </c>
      <c r="G49" s="4" t="s">
        <v>11</v>
      </c>
      <c r="H49" s="4" t="s">
        <v>18</v>
      </c>
    </row>
    <row r="50" ht="22.5" customHeight="1">
      <c r="A50" s="3">
        <v>46165.0111834838</v>
      </c>
      <c r="B50" s="4" t="s">
        <v>111</v>
      </c>
      <c r="C50" s="4" t="s">
        <v>112</v>
      </c>
      <c r="D50" s="4">
        <v>2025.0</v>
      </c>
      <c r="E50" s="4" t="s">
        <v>11</v>
      </c>
      <c r="F50" s="4" t="s">
        <v>10</v>
      </c>
      <c r="G50" s="4" t="s">
        <v>12</v>
      </c>
      <c r="H50" s="4" t="s">
        <v>18</v>
      </c>
    </row>
    <row r="51" ht="22.5" customHeight="1">
      <c r="A51" s="3">
        <v>46165.012681713</v>
      </c>
      <c r="B51" s="4" t="s">
        <v>113</v>
      </c>
      <c r="C51" s="4" t="s">
        <v>114</v>
      </c>
      <c r="D51" s="4">
        <v>2025.0</v>
      </c>
      <c r="E51" s="4" t="s">
        <v>10</v>
      </c>
      <c r="F51" s="4" t="s">
        <v>10</v>
      </c>
      <c r="G51" s="4" t="s">
        <v>12</v>
      </c>
      <c r="H51" s="4" t="s">
        <v>15</v>
      </c>
    </row>
    <row r="52" ht="22.5" customHeight="1">
      <c r="A52" s="3">
        <v>46165.2292582292</v>
      </c>
      <c r="B52" s="4" t="s">
        <v>115</v>
      </c>
      <c r="C52" s="4" t="s">
        <v>116</v>
      </c>
      <c r="D52" s="4">
        <v>2025.0</v>
      </c>
      <c r="E52" s="4" t="s">
        <v>10</v>
      </c>
      <c r="F52" s="4" t="s">
        <v>10</v>
      </c>
      <c r="G52" s="4" t="s">
        <v>15</v>
      </c>
      <c r="H52" s="4" t="s">
        <v>15</v>
      </c>
    </row>
    <row r="53" ht="22.5" customHeight="1">
      <c r="A53" s="3">
        <v>46165.5324805556</v>
      </c>
      <c r="B53" s="4" t="s">
        <v>117</v>
      </c>
      <c r="C53" s="4" t="s">
        <v>118</v>
      </c>
      <c r="D53" s="4">
        <v>25.0</v>
      </c>
      <c r="E53" s="4" t="s">
        <v>15</v>
      </c>
      <c r="F53" s="4" t="s">
        <v>10</v>
      </c>
      <c r="G53" s="4" t="s">
        <v>12</v>
      </c>
      <c r="H53" s="4" t="s">
        <v>18</v>
      </c>
    </row>
    <row r="54" ht="22.5" customHeight="1">
      <c r="A54" s="3">
        <v>46165.9528777083</v>
      </c>
      <c r="B54" s="4" t="s">
        <v>119</v>
      </c>
      <c r="C54" s="4" t="s">
        <v>120</v>
      </c>
      <c r="D54" s="4">
        <v>2025.0</v>
      </c>
      <c r="E54" s="4" t="s">
        <v>15</v>
      </c>
      <c r="F54" s="4" t="s">
        <v>10</v>
      </c>
      <c r="G54" s="4" t="s">
        <v>15</v>
      </c>
      <c r="H54" s="4" t="s">
        <v>12</v>
      </c>
    </row>
    <row r="55" ht="22.5" customHeight="1">
      <c r="A55" s="3">
        <v>46166.4281169676</v>
      </c>
      <c r="B55" s="4" t="s">
        <v>121</v>
      </c>
      <c r="C55" s="4" t="s">
        <v>122</v>
      </c>
      <c r="D55" s="4">
        <v>2025.0</v>
      </c>
      <c r="E55" s="4" t="s">
        <v>11</v>
      </c>
      <c r="F55" s="4" t="s">
        <v>11</v>
      </c>
      <c r="G55" s="4" t="s">
        <v>18</v>
      </c>
      <c r="H55" s="4" t="s">
        <v>11</v>
      </c>
    </row>
    <row r="56" ht="22.5" customHeight="1">
      <c r="A56" s="3">
        <v>46166.8953814815</v>
      </c>
      <c r="B56" s="4" t="s">
        <v>123</v>
      </c>
      <c r="C56" s="4" t="s">
        <v>124</v>
      </c>
      <c r="D56" s="4">
        <v>2025.0</v>
      </c>
      <c r="E56" s="4" t="s">
        <v>11</v>
      </c>
      <c r="F56" s="4" t="s">
        <v>10</v>
      </c>
      <c r="G56" s="4" t="s">
        <v>15</v>
      </c>
      <c r="H56" s="4" t="s">
        <v>15</v>
      </c>
    </row>
    <row r="57" ht="22.5" customHeight="1">
      <c r="A57" s="3">
        <v>46166.9417702894</v>
      </c>
      <c r="B57" s="4" t="s">
        <v>125</v>
      </c>
      <c r="C57" s="4" t="s">
        <v>126</v>
      </c>
      <c r="D57" s="4">
        <v>2025.0</v>
      </c>
      <c r="E57" s="4" t="s">
        <v>11</v>
      </c>
      <c r="F57" s="4" t="s">
        <v>10</v>
      </c>
      <c r="G57" s="4" t="s">
        <v>10</v>
      </c>
      <c r="H57" s="4" t="s">
        <v>10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984027777777778" footer="0.0" header="0.0" left="0.747916666666667" right="0.747916666666667" top="0.984027777777778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9.75"/>
    <col customWidth="1" min="2" max="2" width="61.25"/>
    <col customWidth="1" min="3" max="3" width="11.5"/>
    <col customWidth="1" min="4" max="4" width="18.88"/>
    <col customWidth="1" min="5" max="19" width="11.5"/>
    <col customWidth="1" min="20" max="20" width="16.38"/>
    <col customWidth="1" min="21" max="42" width="11.5"/>
  </cols>
  <sheetData>
    <row r="1" ht="12.75" customHeight="1">
      <c r="A1" s="5" t="s">
        <v>127</v>
      </c>
      <c r="J1" s="6" t="s">
        <v>128</v>
      </c>
    </row>
    <row r="2" ht="12.75" customHeight="1">
      <c r="A2" s="7" t="s">
        <v>129</v>
      </c>
      <c r="B2" s="7" t="s">
        <v>130</v>
      </c>
      <c r="C2" s="7" t="s">
        <v>131</v>
      </c>
      <c r="D2" s="7" t="s">
        <v>132</v>
      </c>
      <c r="E2" s="8" t="s">
        <v>133</v>
      </c>
      <c r="F2" s="8" t="s">
        <v>134</v>
      </c>
      <c r="G2" s="8" t="s">
        <v>135</v>
      </c>
      <c r="H2" s="8" t="s">
        <v>92</v>
      </c>
      <c r="I2" s="9"/>
      <c r="J2" s="9" t="s">
        <v>136</v>
      </c>
      <c r="K2" s="10">
        <v>1.0</v>
      </c>
      <c r="L2" s="10">
        <v>3.0</v>
      </c>
      <c r="M2" s="10">
        <v>5.0</v>
      </c>
      <c r="N2" s="10">
        <v>5.0</v>
      </c>
      <c r="P2" s="11" t="s">
        <v>137</v>
      </c>
      <c r="Q2" s="12"/>
      <c r="R2" s="12"/>
      <c r="S2" s="12"/>
      <c r="T2" s="12"/>
      <c r="U2" s="12"/>
      <c r="V2" s="9"/>
      <c r="W2" s="13" t="s">
        <v>138</v>
      </c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</row>
    <row r="3" ht="12.75" customHeight="1">
      <c r="A3" s="7" t="s">
        <v>10</v>
      </c>
      <c r="B3" s="7" t="s">
        <v>10</v>
      </c>
      <c r="C3" s="7" t="s">
        <v>11</v>
      </c>
      <c r="D3" s="7" t="s">
        <v>12</v>
      </c>
      <c r="E3" s="8">
        <f t="shared" ref="E3:H3" si="1">IF(A3="&lt; Rp10.000",1,
IF(A3="Rp10.000 – Rp20.000",2,
IF(A3="Rp21.000 – Rp35.000",3,
IF(A3="Rp36.000 – Rp50.000",4,
IF(A3="&gt; Rp50.000",5,"")))))</f>
        <v>2</v>
      </c>
      <c r="F3" s="8">
        <f t="shared" si="1"/>
        <v>2</v>
      </c>
      <c r="G3" s="8">
        <f t="shared" si="1"/>
        <v>1</v>
      </c>
      <c r="H3" s="8">
        <f t="shared" si="1"/>
        <v>5</v>
      </c>
      <c r="I3" s="9"/>
      <c r="J3" s="9" t="s">
        <v>139</v>
      </c>
      <c r="K3" s="10">
        <v>1.0</v>
      </c>
      <c r="L3" s="10">
        <v>2.0</v>
      </c>
      <c r="M3" s="10">
        <v>5.0</v>
      </c>
      <c r="N3" s="10">
        <v>4.0</v>
      </c>
      <c r="P3" s="14" t="s">
        <v>136</v>
      </c>
      <c r="Q3" s="14" t="s">
        <v>139</v>
      </c>
      <c r="R3" s="14" t="s">
        <v>140</v>
      </c>
      <c r="S3" s="14" t="s">
        <v>141</v>
      </c>
      <c r="T3" s="14" t="s">
        <v>142</v>
      </c>
      <c r="U3" s="14" t="s">
        <v>143</v>
      </c>
      <c r="W3" s="13" t="s">
        <v>136</v>
      </c>
      <c r="X3" s="12"/>
      <c r="Y3" s="12"/>
      <c r="Z3" s="12"/>
      <c r="AA3" s="13" t="s">
        <v>139</v>
      </c>
      <c r="AB3" s="12"/>
      <c r="AC3" s="12"/>
      <c r="AD3" s="12"/>
      <c r="AE3" s="13" t="s">
        <v>140</v>
      </c>
      <c r="AF3" s="12"/>
      <c r="AG3" s="12"/>
      <c r="AH3" s="12"/>
      <c r="AI3" s="13" t="s">
        <v>141</v>
      </c>
      <c r="AJ3" s="12"/>
      <c r="AK3" s="12"/>
      <c r="AL3" s="12"/>
      <c r="AM3" s="13" t="s">
        <v>142</v>
      </c>
      <c r="AN3" s="12"/>
      <c r="AO3" s="12"/>
      <c r="AP3" s="12"/>
    </row>
    <row r="4" ht="12.75" customHeight="1">
      <c r="A4" s="7" t="s">
        <v>11</v>
      </c>
      <c r="B4" s="7" t="s">
        <v>15</v>
      </c>
      <c r="C4" s="7" t="s">
        <v>12</v>
      </c>
      <c r="D4" s="7" t="s">
        <v>12</v>
      </c>
      <c r="E4" s="8">
        <f t="shared" ref="E4:H4" si="2">IF(A4="&lt; Rp10.000",1,
IF(A4="Rp10.000 – Rp20.000",2,
IF(A4="Rp21.000 – Rp35.000",3,
IF(A4="Rp36.000 – Rp50.000",4,
IF(A4="&gt; Rp50.000",5,"")))))</f>
        <v>1</v>
      </c>
      <c r="F4" s="8">
        <f t="shared" si="2"/>
        <v>3</v>
      </c>
      <c r="G4" s="8">
        <f t="shared" si="2"/>
        <v>5</v>
      </c>
      <c r="H4" s="8">
        <f t="shared" si="2"/>
        <v>5</v>
      </c>
      <c r="I4" s="9"/>
      <c r="J4" s="9" t="s">
        <v>140</v>
      </c>
      <c r="K4" s="10">
        <v>2.0</v>
      </c>
      <c r="L4" s="10">
        <v>3.0</v>
      </c>
      <c r="M4" s="10">
        <v>3.0</v>
      </c>
      <c r="N4" s="10">
        <v>3.0</v>
      </c>
      <c r="P4" s="14">
        <f t="shared" ref="P4:P58" si="4">SQRT((E3-$K$2)^2+(F3-$L$2)^2+(G3-$M$2)^2+(H3-$N$2)^2)</f>
        <v>4.242640687</v>
      </c>
      <c r="Q4" s="14">
        <f t="shared" ref="Q4:Q58" si="5">SQRT((E3-$K$3)^2+(F3-$L$3)^2+(G3-$M$3)^2+(H3-$N$3)^2)</f>
        <v>4.242640687</v>
      </c>
      <c r="R4" s="14">
        <f t="shared" ref="R4:R58" si="6">SQRT((E3-$K$4)^2+(F3-$L$4)^2+(G3-$M$4)^2+(H3-$N$4)^2)</f>
        <v>3</v>
      </c>
      <c r="S4" s="14">
        <f t="shared" ref="S4:S58" si="7">SQRT((E3-$K$5)^2+(F3-$L$5)^2+(G3-$M$5)^2+(H3-$N$5)^2)</f>
        <v>4.123105626</v>
      </c>
      <c r="T4" s="14">
        <f t="shared" ref="T4:T58" si="8">SQRT((E3-$K$6)^2+(F3-$L$6)^2+(G3-$M$6)^2+(H3-$N$6)^2)</f>
        <v>4.472135955</v>
      </c>
      <c r="U4" s="14">
        <f t="shared" ref="U4:U58" si="9">CHOOSE(MATCH(MIN(P4:T4),P4:T4,0), 1, 2, 3, 4, 5)</f>
        <v>3</v>
      </c>
      <c r="W4" s="15" t="str">
        <f t="shared" ref="W4:W58" si="10">IF(U4=1,E3,"")</f>
        <v/>
      </c>
      <c r="X4" s="15" t="str">
        <f t="shared" ref="X4:X58" si="11">IF(U4=1,F3,"")</f>
        <v/>
      </c>
      <c r="Y4" s="15" t="str">
        <f t="shared" ref="Y4:Y58" si="12">IF(U4=1,G3,"")</f>
        <v/>
      </c>
      <c r="Z4" s="15" t="str">
        <f t="shared" ref="Z4:Z58" si="13">IF(U4=1,H3,"")</f>
        <v/>
      </c>
      <c r="AA4" s="15" t="str">
        <f t="shared" ref="AA4:AA58" si="14">IF(U4=2,E3,"")</f>
        <v/>
      </c>
      <c r="AB4" s="15" t="str">
        <f t="shared" ref="AB4:AB58" si="15">IF(U4=2,F3,"")</f>
        <v/>
      </c>
      <c r="AC4" s="15" t="str">
        <f t="shared" ref="AC4:AC58" si="16">IF(U4=2,G3,"")</f>
        <v/>
      </c>
      <c r="AD4" s="15" t="str">
        <f t="shared" ref="AD4:AD58" si="17">IF(U4=1,H3,"")</f>
        <v/>
      </c>
      <c r="AE4" s="15">
        <f t="shared" ref="AE4:AE58" si="18">IF(U4=3,E3,"")</f>
        <v>2</v>
      </c>
      <c r="AF4" s="15">
        <f t="shared" ref="AF4:AF58" si="19">IF(U4=3,F3,"")</f>
        <v>2</v>
      </c>
      <c r="AG4" s="15">
        <f t="shared" ref="AG4:AG58" si="20">IF(U4=3,G3,"")</f>
        <v>1</v>
      </c>
      <c r="AH4" s="15">
        <f t="shared" ref="AH4:AH58" si="21">IF(U4=3,H3,"")</f>
        <v>5</v>
      </c>
      <c r="AI4" s="15" t="str">
        <f t="shared" ref="AI4:AI57" si="22">IF(U4=4,E3,"")</f>
        <v/>
      </c>
      <c r="AJ4" s="15" t="str">
        <f t="shared" ref="AJ4:AJ57" si="23">IF(U4=4,F3,"")</f>
        <v/>
      </c>
      <c r="AK4" s="15" t="str">
        <f t="shared" ref="AK4:AK57" si="24">IF(U4=4,G3,"")</f>
        <v/>
      </c>
      <c r="AL4" s="15" t="str">
        <f t="shared" ref="AL4:AL57" si="25">IF(U4=4,H3,"")</f>
        <v/>
      </c>
      <c r="AM4" s="15" t="str">
        <f t="shared" ref="AM4:AM59" si="26">IF(U4=5,E3,"")</f>
        <v/>
      </c>
      <c r="AN4" s="15" t="str">
        <f t="shared" ref="AN4:AN59" si="27">IF(U4=5,F3,"")</f>
        <v/>
      </c>
      <c r="AO4" s="15" t="str">
        <f t="shared" ref="AO4:AO59" si="28">IF(U4=5,G3,"")</f>
        <v/>
      </c>
      <c r="AP4" s="15" t="str">
        <f t="shared" ref="AP4:AP59" si="29">IF(U4=5,H3,"")</f>
        <v/>
      </c>
    </row>
    <row r="5" ht="12.75" customHeight="1">
      <c r="A5" s="7" t="s">
        <v>11</v>
      </c>
      <c r="B5" s="7" t="s">
        <v>15</v>
      </c>
      <c r="C5" s="7" t="s">
        <v>18</v>
      </c>
      <c r="D5" s="7" t="s">
        <v>12</v>
      </c>
      <c r="E5" s="8">
        <f t="shared" ref="E5:H5" si="3">IF(A5="&lt; Rp10.000",1,
IF(A5="Rp10.000 – Rp20.000",2,
IF(A5="Rp21.000 – Rp35.000",3,
IF(A5="Rp36.000 – Rp50.000",4,
IF(A5="&gt; Rp50.000",5,"")))))</f>
        <v>1</v>
      </c>
      <c r="F5" s="8">
        <f t="shared" si="3"/>
        <v>3</v>
      </c>
      <c r="G5" s="8">
        <f t="shared" si="3"/>
        <v>4</v>
      </c>
      <c r="H5" s="8">
        <f t="shared" si="3"/>
        <v>5</v>
      </c>
      <c r="I5" s="9"/>
      <c r="J5" s="9" t="s">
        <v>141</v>
      </c>
      <c r="K5" s="10">
        <v>1.0</v>
      </c>
      <c r="L5" s="10">
        <v>2.0</v>
      </c>
      <c r="M5" s="10">
        <v>1.0</v>
      </c>
      <c r="N5" s="10">
        <v>1.0</v>
      </c>
      <c r="P5" s="14">
        <f t="shared" si="4"/>
        <v>0</v>
      </c>
      <c r="Q5" s="14">
        <f t="shared" si="5"/>
        <v>1.414213562</v>
      </c>
      <c r="R5" s="14">
        <f t="shared" si="6"/>
        <v>3</v>
      </c>
      <c r="S5" s="14">
        <f t="shared" si="7"/>
        <v>5.744562647</v>
      </c>
      <c r="T5" s="14">
        <f t="shared" si="8"/>
        <v>2.449489743</v>
      </c>
      <c r="U5" s="14">
        <f t="shared" si="9"/>
        <v>1</v>
      </c>
      <c r="W5" s="15">
        <f t="shared" si="10"/>
        <v>1</v>
      </c>
      <c r="X5" s="15">
        <f t="shared" si="11"/>
        <v>3</v>
      </c>
      <c r="Y5" s="15">
        <f t="shared" si="12"/>
        <v>5</v>
      </c>
      <c r="Z5" s="15">
        <f t="shared" si="13"/>
        <v>5</v>
      </c>
      <c r="AA5" s="15" t="str">
        <f t="shared" si="14"/>
        <v/>
      </c>
      <c r="AB5" s="15" t="str">
        <f t="shared" si="15"/>
        <v/>
      </c>
      <c r="AC5" s="15" t="str">
        <f t="shared" si="16"/>
        <v/>
      </c>
      <c r="AD5" s="15">
        <f t="shared" si="17"/>
        <v>5</v>
      </c>
      <c r="AE5" s="15" t="str">
        <f t="shared" si="18"/>
        <v/>
      </c>
      <c r="AF5" s="15" t="str">
        <f t="shared" si="19"/>
        <v/>
      </c>
      <c r="AG5" s="15" t="str">
        <f t="shared" si="20"/>
        <v/>
      </c>
      <c r="AH5" s="15" t="str">
        <f t="shared" si="21"/>
        <v/>
      </c>
      <c r="AI5" s="15" t="str">
        <f t="shared" si="22"/>
        <v/>
      </c>
      <c r="AJ5" s="15" t="str">
        <f t="shared" si="23"/>
        <v/>
      </c>
      <c r="AK5" s="15" t="str">
        <f t="shared" si="24"/>
        <v/>
      </c>
      <c r="AL5" s="15" t="str">
        <f t="shared" si="25"/>
        <v/>
      </c>
      <c r="AM5" s="15" t="str">
        <f t="shared" si="26"/>
        <v/>
      </c>
      <c r="AN5" s="15" t="str">
        <f t="shared" si="27"/>
        <v/>
      </c>
      <c r="AO5" s="15" t="str">
        <f t="shared" si="28"/>
        <v/>
      </c>
      <c r="AP5" s="15" t="str">
        <f t="shared" si="29"/>
        <v/>
      </c>
    </row>
    <row r="6" ht="12.75" customHeight="1">
      <c r="A6" s="7" t="s">
        <v>11</v>
      </c>
      <c r="B6" s="7" t="s">
        <v>10</v>
      </c>
      <c r="C6" s="7" t="s">
        <v>15</v>
      </c>
      <c r="D6" s="7" t="s">
        <v>15</v>
      </c>
      <c r="E6" s="8">
        <f t="shared" ref="E6:H6" si="30">IF(A6="&lt; Rp10.000",1,
IF(A6="Rp10.000 – Rp20.000",2,
IF(A6="Rp21.000 – Rp35.000",3,
IF(A6="Rp36.000 – Rp50.000",4,
IF(A6="&gt; Rp50.000",5,"")))))</f>
        <v>1</v>
      </c>
      <c r="F6" s="8">
        <f t="shared" si="30"/>
        <v>2</v>
      </c>
      <c r="G6" s="8">
        <f t="shared" si="30"/>
        <v>3</v>
      </c>
      <c r="H6" s="8">
        <f t="shared" si="30"/>
        <v>3</v>
      </c>
      <c r="I6" s="9"/>
      <c r="J6" s="9" t="s">
        <v>142</v>
      </c>
      <c r="K6" s="16">
        <v>2.0</v>
      </c>
      <c r="L6" s="10">
        <v>2.0</v>
      </c>
      <c r="M6" s="10">
        <v>5.0</v>
      </c>
      <c r="N6" s="16">
        <v>3.0</v>
      </c>
      <c r="P6" s="14">
        <f t="shared" si="4"/>
        <v>1</v>
      </c>
      <c r="Q6" s="14">
        <f t="shared" si="5"/>
        <v>1.732050808</v>
      </c>
      <c r="R6" s="14">
        <f t="shared" si="6"/>
        <v>2.449489743</v>
      </c>
      <c r="S6" s="14">
        <f t="shared" si="7"/>
        <v>5.099019514</v>
      </c>
      <c r="T6" s="14">
        <f t="shared" si="8"/>
        <v>2.645751311</v>
      </c>
      <c r="U6" s="14">
        <f t="shared" si="9"/>
        <v>1</v>
      </c>
      <c r="V6" s="9"/>
      <c r="W6" s="15">
        <f t="shared" si="10"/>
        <v>1</v>
      </c>
      <c r="X6" s="15">
        <f t="shared" si="11"/>
        <v>3</v>
      </c>
      <c r="Y6" s="15">
        <f t="shared" si="12"/>
        <v>4</v>
      </c>
      <c r="Z6" s="15">
        <f t="shared" si="13"/>
        <v>5</v>
      </c>
      <c r="AA6" s="15" t="str">
        <f t="shared" si="14"/>
        <v/>
      </c>
      <c r="AB6" s="15" t="str">
        <f t="shared" si="15"/>
        <v/>
      </c>
      <c r="AC6" s="15" t="str">
        <f t="shared" si="16"/>
        <v/>
      </c>
      <c r="AD6" s="15">
        <f t="shared" si="17"/>
        <v>5</v>
      </c>
      <c r="AE6" s="15" t="str">
        <f t="shared" si="18"/>
        <v/>
      </c>
      <c r="AF6" s="15" t="str">
        <f t="shared" si="19"/>
        <v/>
      </c>
      <c r="AG6" s="15" t="str">
        <f t="shared" si="20"/>
        <v/>
      </c>
      <c r="AH6" s="15" t="str">
        <f t="shared" si="21"/>
        <v/>
      </c>
      <c r="AI6" s="15" t="str">
        <f t="shared" si="22"/>
        <v/>
      </c>
      <c r="AJ6" s="15" t="str">
        <f t="shared" si="23"/>
        <v/>
      </c>
      <c r="AK6" s="15" t="str">
        <f t="shared" si="24"/>
        <v/>
      </c>
      <c r="AL6" s="15" t="str">
        <f t="shared" si="25"/>
        <v/>
      </c>
      <c r="AM6" s="15" t="str">
        <f t="shared" si="26"/>
        <v/>
      </c>
      <c r="AN6" s="15" t="str">
        <f t="shared" si="27"/>
        <v/>
      </c>
      <c r="AO6" s="15" t="str">
        <f t="shared" si="28"/>
        <v/>
      </c>
      <c r="AP6" s="15" t="str">
        <f t="shared" si="29"/>
        <v/>
      </c>
    </row>
    <row r="7" ht="12.75" customHeight="1">
      <c r="A7" s="7" t="s">
        <v>11</v>
      </c>
      <c r="B7" s="7" t="s">
        <v>10</v>
      </c>
      <c r="C7" s="7" t="s">
        <v>15</v>
      </c>
      <c r="D7" s="7" t="s">
        <v>12</v>
      </c>
      <c r="E7" s="8">
        <f t="shared" ref="E7:H7" si="31">IF(A7="&lt; Rp10.000",1,
IF(A7="Rp10.000 – Rp20.000",2,
IF(A7="Rp21.000 – Rp35.000",3,
IF(A7="Rp36.000 – Rp50.000",4,
IF(A7="&gt; Rp50.000",5,"")))))</f>
        <v>1</v>
      </c>
      <c r="F7" s="8">
        <f t="shared" si="31"/>
        <v>2</v>
      </c>
      <c r="G7" s="8">
        <f t="shared" si="31"/>
        <v>3</v>
      </c>
      <c r="H7" s="8">
        <f t="shared" si="31"/>
        <v>5</v>
      </c>
      <c r="I7" s="9"/>
      <c r="O7" s="9"/>
      <c r="P7" s="14">
        <f t="shared" si="4"/>
        <v>3</v>
      </c>
      <c r="Q7" s="14">
        <f t="shared" si="5"/>
        <v>2.236067977</v>
      </c>
      <c r="R7" s="14">
        <f t="shared" si="6"/>
        <v>1.414213562</v>
      </c>
      <c r="S7" s="14">
        <f t="shared" si="7"/>
        <v>2.828427125</v>
      </c>
      <c r="T7" s="14">
        <f t="shared" si="8"/>
        <v>2.236067977</v>
      </c>
      <c r="U7" s="14">
        <f t="shared" si="9"/>
        <v>3</v>
      </c>
      <c r="V7" s="9"/>
      <c r="W7" s="15" t="str">
        <f t="shared" si="10"/>
        <v/>
      </c>
      <c r="X7" s="15" t="str">
        <f t="shared" si="11"/>
        <v/>
      </c>
      <c r="Y7" s="15" t="str">
        <f t="shared" si="12"/>
        <v/>
      </c>
      <c r="Z7" s="15" t="str">
        <f t="shared" si="13"/>
        <v/>
      </c>
      <c r="AA7" s="15" t="str">
        <f t="shared" si="14"/>
        <v/>
      </c>
      <c r="AB7" s="15" t="str">
        <f t="shared" si="15"/>
        <v/>
      </c>
      <c r="AC7" s="15" t="str">
        <f t="shared" si="16"/>
        <v/>
      </c>
      <c r="AD7" s="15" t="str">
        <f t="shared" si="17"/>
        <v/>
      </c>
      <c r="AE7" s="15">
        <f t="shared" si="18"/>
        <v>1</v>
      </c>
      <c r="AF7" s="15">
        <f t="shared" si="19"/>
        <v>2</v>
      </c>
      <c r="AG7" s="15">
        <f t="shared" si="20"/>
        <v>3</v>
      </c>
      <c r="AH7" s="15">
        <f t="shared" si="21"/>
        <v>3</v>
      </c>
      <c r="AI7" s="15" t="str">
        <f t="shared" si="22"/>
        <v/>
      </c>
      <c r="AJ7" s="15" t="str">
        <f t="shared" si="23"/>
        <v/>
      </c>
      <c r="AK7" s="15" t="str">
        <f t="shared" si="24"/>
        <v/>
      </c>
      <c r="AL7" s="15" t="str">
        <f t="shared" si="25"/>
        <v/>
      </c>
      <c r="AM7" s="15" t="str">
        <f t="shared" si="26"/>
        <v/>
      </c>
      <c r="AN7" s="15" t="str">
        <f t="shared" si="27"/>
        <v/>
      </c>
      <c r="AO7" s="15" t="str">
        <f t="shared" si="28"/>
        <v/>
      </c>
      <c r="AP7" s="15" t="str">
        <f t="shared" si="29"/>
        <v/>
      </c>
    </row>
    <row r="8" ht="12.75" customHeight="1">
      <c r="A8" s="7" t="s">
        <v>11</v>
      </c>
      <c r="B8" s="7" t="s">
        <v>18</v>
      </c>
      <c r="C8" s="7" t="s">
        <v>12</v>
      </c>
      <c r="D8" s="7" t="s">
        <v>12</v>
      </c>
      <c r="E8" s="8">
        <f t="shared" ref="E8:H8" si="32">IF(A8="&lt; Rp10.000",1,
IF(A8="Rp10.000 – Rp20.000",2,
IF(A8="Rp21.000 – Rp35.000",3,
IF(A8="Rp36.000 – Rp50.000",4,
IF(A8="&gt; Rp50.000",5,"")))))</f>
        <v>1</v>
      </c>
      <c r="F8" s="8">
        <f t="shared" si="32"/>
        <v>4</v>
      </c>
      <c r="G8" s="8">
        <f t="shared" si="32"/>
        <v>5</v>
      </c>
      <c r="H8" s="8">
        <f t="shared" si="32"/>
        <v>5</v>
      </c>
      <c r="I8" s="9"/>
      <c r="J8" s="9"/>
      <c r="K8" s="9"/>
      <c r="L8" s="9"/>
      <c r="M8" s="9"/>
      <c r="N8" s="9"/>
      <c r="O8" s="9"/>
      <c r="P8" s="14">
        <f t="shared" si="4"/>
        <v>2.236067977</v>
      </c>
      <c r="Q8" s="14">
        <f t="shared" si="5"/>
        <v>2.236067977</v>
      </c>
      <c r="R8" s="14">
        <f t="shared" si="6"/>
        <v>2.449489743</v>
      </c>
      <c r="S8" s="14">
        <f t="shared" si="7"/>
        <v>4.472135955</v>
      </c>
      <c r="T8" s="14">
        <f t="shared" si="8"/>
        <v>3</v>
      </c>
      <c r="U8" s="14">
        <f t="shared" si="9"/>
        <v>1</v>
      </c>
      <c r="V8" s="9"/>
      <c r="W8" s="15">
        <f t="shared" si="10"/>
        <v>1</v>
      </c>
      <c r="X8" s="15">
        <f t="shared" si="11"/>
        <v>2</v>
      </c>
      <c r="Y8" s="15">
        <f t="shared" si="12"/>
        <v>3</v>
      </c>
      <c r="Z8" s="15">
        <f t="shared" si="13"/>
        <v>5</v>
      </c>
      <c r="AA8" s="15" t="str">
        <f t="shared" si="14"/>
        <v/>
      </c>
      <c r="AB8" s="15" t="str">
        <f t="shared" si="15"/>
        <v/>
      </c>
      <c r="AC8" s="15" t="str">
        <f t="shared" si="16"/>
        <v/>
      </c>
      <c r="AD8" s="15">
        <f t="shared" si="17"/>
        <v>5</v>
      </c>
      <c r="AE8" s="15" t="str">
        <f t="shared" si="18"/>
        <v/>
      </c>
      <c r="AF8" s="15" t="str">
        <f t="shared" si="19"/>
        <v/>
      </c>
      <c r="AG8" s="15" t="str">
        <f t="shared" si="20"/>
        <v/>
      </c>
      <c r="AH8" s="15" t="str">
        <f t="shared" si="21"/>
        <v/>
      </c>
      <c r="AI8" s="15" t="str">
        <f t="shared" si="22"/>
        <v/>
      </c>
      <c r="AJ8" s="15" t="str">
        <f t="shared" si="23"/>
        <v/>
      </c>
      <c r="AK8" s="15" t="str">
        <f t="shared" si="24"/>
        <v/>
      </c>
      <c r="AL8" s="15" t="str">
        <f t="shared" si="25"/>
        <v/>
      </c>
      <c r="AM8" s="15" t="str">
        <f t="shared" si="26"/>
        <v/>
      </c>
      <c r="AN8" s="15" t="str">
        <f t="shared" si="27"/>
        <v/>
      </c>
      <c r="AO8" s="15" t="str">
        <f t="shared" si="28"/>
        <v/>
      </c>
      <c r="AP8" s="15" t="str">
        <f t="shared" si="29"/>
        <v/>
      </c>
    </row>
    <row r="9" ht="12.75" customHeight="1">
      <c r="A9" s="7" t="s">
        <v>11</v>
      </c>
      <c r="B9" s="7" t="s">
        <v>15</v>
      </c>
      <c r="C9" s="7" t="s">
        <v>11</v>
      </c>
      <c r="D9" s="7" t="s">
        <v>12</v>
      </c>
      <c r="E9" s="8">
        <f t="shared" ref="E9:H9" si="33">IF(A9="&lt; Rp10.000",1,
IF(A9="Rp10.000 – Rp20.000",2,
IF(A9="Rp21.000 – Rp35.000",3,
IF(A9="Rp36.000 – Rp50.000",4,
IF(A9="&gt; Rp50.000",5,"")))))</f>
        <v>1</v>
      </c>
      <c r="F9" s="8">
        <f t="shared" si="33"/>
        <v>3</v>
      </c>
      <c r="G9" s="8">
        <f t="shared" si="33"/>
        <v>1</v>
      </c>
      <c r="H9" s="8">
        <f t="shared" si="33"/>
        <v>5</v>
      </c>
      <c r="I9" s="9"/>
      <c r="J9" s="9"/>
      <c r="K9" s="9"/>
      <c r="L9" s="9"/>
      <c r="M9" s="9"/>
      <c r="N9" s="9"/>
      <c r="O9" s="9"/>
      <c r="P9" s="14">
        <f t="shared" si="4"/>
        <v>1</v>
      </c>
      <c r="Q9" s="14">
        <f t="shared" si="5"/>
        <v>2.236067977</v>
      </c>
      <c r="R9" s="14">
        <f t="shared" si="6"/>
        <v>3.16227766</v>
      </c>
      <c r="S9" s="14">
        <f t="shared" si="7"/>
        <v>6</v>
      </c>
      <c r="T9" s="14">
        <f t="shared" si="8"/>
        <v>3</v>
      </c>
      <c r="U9" s="14">
        <f t="shared" si="9"/>
        <v>1</v>
      </c>
      <c r="V9" s="9"/>
      <c r="W9" s="15">
        <f t="shared" si="10"/>
        <v>1</v>
      </c>
      <c r="X9" s="15">
        <f t="shared" si="11"/>
        <v>4</v>
      </c>
      <c r="Y9" s="15">
        <f t="shared" si="12"/>
        <v>5</v>
      </c>
      <c r="Z9" s="15">
        <f t="shared" si="13"/>
        <v>5</v>
      </c>
      <c r="AA9" s="15" t="str">
        <f t="shared" si="14"/>
        <v/>
      </c>
      <c r="AB9" s="15" t="str">
        <f t="shared" si="15"/>
        <v/>
      </c>
      <c r="AC9" s="15" t="str">
        <f t="shared" si="16"/>
        <v/>
      </c>
      <c r="AD9" s="15">
        <f t="shared" si="17"/>
        <v>5</v>
      </c>
      <c r="AE9" s="15" t="str">
        <f t="shared" si="18"/>
        <v/>
      </c>
      <c r="AF9" s="15" t="str">
        <f t="shared" si="19"/>
        <v/>
      </c>
      <c r="AG9" s="15" t="str">
        <f t="shared" si="20"/>
        <v/>
      </c>
      <c r="AH9" s="15" t="str">
        <f t="shared" si="21"/>
        <v/>
      </c>
      <c r="AI9" s="15" t="str">
        <f t="shared" si="22"/>
        <v/>
      </c>
      <c r="AJ9" s="15" t="str">
        <f t="shared" si="23"/>
        <v/>
      </c>
      <c r="AK9" s="15" t="str">
        <f t="shared" si="24"/>
        <v/>
      </c>
      <c r="AL9" s="15" t="str">
        <f t="shared" si="25"/>
        <v/>
      </c>
      <c r="AM9" s="15" t="str">
        <f t="shared" si="26"/>
        <v/>
      </c>
      <c r="AN9" s="15" t="str">
        <f t="shared" si="27"/>
        <v/>
      </c>
      <c r="AO9" s="15" t="str">
        <f t="shared" si="28"/>
        <v/>
      </c>
      <c r="AP9" s="15" t="str">
        <f t="shared" si="29"/>
        <v/>
      </c>
    </row>
    <row r="10" ht="12.75" customHeight="1">
      <c r="A10" s="7" t="s">
        <v>11</v>
      </c>
      <c r="B10" s="7" t="s">
        <v>10</v>
      </c>
      <c r="C10" s="7" t="s">
        <v>12</v>
      </c>
      <c r="D10" s="7" t="s">
        <v>10</v>
      </c>
      <c r="E10" s="8">
        <f t="shared" ref="E10:H10" si="34">IF(A10="&lt; Rp10.000",1,
IF(A10="Rp10.000 – Rp20.000",2,
IF(A10="Rp21.000 – Rp35.000",3,
IF(A10="Rp36.000 – Rp50.000",4,
IF(A10="&gt; Rp50.000",5,"")))))</f>
        <v>1</v>
      </c>
      <c r="F10" s="8">
        <f t="shared" si="34"/>
        <v>2</v>
      </c>
      <c r="G10" s="8">
        <f t="shared" si="34"/>
        <v>5</v>
      </c>
      <c r="H10" s="8">
        <f t="shared" si="34"/>
        <v>2</v>
      </c>
      <c r="I10" s="9"/>
      <c r="J10" s="9"/>
      <c r="K10" s="9"/>
      <c r="L10" s="9"/>
      <c r="M10" s="9"/>
      <c r="N10" s="9"/>
      <c r="O10" s="9"/>
      <c r="P10" s="14">
        <f t="shared" si="4"/>
        <v>4</v>
      </c>
      <c r="Q10" s="14">
        <f t="shared" si="5"/>
        <v>4.242640687</v>
      </c>
      <c r="R10" s="14">
        <f t="shared" si="6"/>
        <v>3</v>
      </c>
      <c r="S10" s="14">
        <f t="shared" si="7"/>
        <v>4.123105626</v>
      </c>
      <c r="T10" s="14">
        <f t="shared" si="8"/>
        <v>4.69041576</v>
      </c>
      <c r="U10" s="14">
        <f t="shared" si="9"/>
        <v>3</v>
      </c>
      <c r="V10" s="9"/>
      <c r="W10" s="15" t="str">
        <f t="shared" si="10"/>
        <v/>
      </c>
      <c r="X10" s="15" t="str">
        <f t="shared" si="11"/>
        <v/>
      </c>
      <c r="Y10" s="15" t="str">
        <f t="shared" si="12"/>
        <v/>
      </c>
      <c r="Z10" s="15" t="str">
        <f t="shared" si="13"/>
        <v/>
      </c>
      <c r="AA10" s="15" t="str">
        <f t="shared" si="14"/>
        <v/>
      </c>
      <c r="AB10" s="15" t="str">
        <f t="shared" si="15"/>
        <v/>
      </c>
      <c r="AC10" s="15" t="str">
        <f t="shared" si="16"/>
        <v/>
      </c>
      <c r="AD10" s="15" t="str">
        <f t="shared" si="17"/>
        <v/>
      </c>
      <c r="AE10" s="15">
        <f t="shared" si="18"/>
        <v>1</v>
      </c>
      <c r="AF10" s="15">
        <f t="shared" si="19"/>
        <v>3</v>
      </c>
      <c r="AG10" s="15">
        <f t="shared" si="20"/>
        <v>1</v>
      </c>
      <c r="AH10" s="15">
        <f t="shared" si="21"/>
        <v>5</v>
      </c>
      <c r="AI10" s="15" t="str">
        <f t="shared" si="22"/>
        <v/>
      </c>
      <c r="AJ10" s="15" t="str">
        <f t="shared" si="23"/>
        <v/>
      </c>
      <c r="AK10" s="15" t="str">
        <f t="shared" si="24"/>
        <v/>
      </c>
      <c r="AL10" s="15" t="str">
        <f t="shared" si="25"/>
        <v/>
      </c>
      <c r="AM10" s="15" t="str">
        <f t="shared" si="26"/>
        <v/>
      </c>
      <c r="AN10" s="15" t="str">
        <f t="shared" si="27"/>
        <v/>
      </c>
      <c r="AO10" s="15" t="str">
        <f t="shared" si="28"/>
        <v/>
      </c>
      <c r="AP10" s="15" t="str">
        <f t="shared" si="29"/>
        <v/>
      </c>
    </row>
    <row r="11" ht="12.75" customHeight="1">
      <c r="A11" s="7" t="s">
        <v>11</v>
      </c>
      <c r="B11" s="7" t="s">
        <v>10</v>
      </c>
      <c r="C11" s="7" t="s">
        <v>18</v>
      </c>
      <c r="D11" s="7" t="s">
        <v>12</v>
      </c>
      <c r="E11" s="8">
        <f t="shared" ref="E11:H11" si="35">IF(A11="&lt; Rp10.000",1,
IF(A11="Rp10.000 – Rp20.000",2,
IF(A11="Rp21.000 – Rp35.000",3,
IF(A11="Rp36.000 – Rp50.000",4,
IF(A11="&gt; Rp50.000",5,"")))))</f>
        <v>1</v>
      </c>
      <c r="F11" s="8">
        <f t="shared" si="35"/>
        <v>2</v>
      </c>
      <c r="G11" s="8">
        <f t="shared" si="35"/>
        <v>4</v>
      </c>
      <c r="H11" s="8">
        <f t="shared" si="35"/>
        <v>5</v>
      </c>
      <c r="I11" s="9"/>
      <c r="J11" s="9"/>
      <c r="K11" s="9"/>
      <c r="L11" s="9"/>
      <c r="M11" s="9"/>
      <c r="N11" s="9"/>
      <c r="O11" s="9"/>
      <c r="P11" s="14">
        <f t="shared" si="4"/>
        <v>3.16227766</v>
      </c>
      <c r="Q11" s="14">
        <f t="shared" si="5"/>
        <v>2</v>
      </c>
      <c r="R11" s="14">
        <f t="shared" si="6"/>
        <v>2.645751311</v>
      </c>
      <c r="S11" s="14">
        <f t="shared" si="7"/>
        <v>4.123105626</v>
      </c>
      <c r="T11" s="14">
        <f t="shared" si="8"/>
        <v>1.414213562</v>
      </c>
      <c r="U11" s="14">
        <f t="shared" si="9"/>
        <v>5</v>
      </c>
      <c r="V11" s="9"/>
      <c r="W11" s="15" t="str">
        <f t="shared" si="10"/>
        <v/>
      </c>
      <c r="X11" s="15" t="str">
        <f t="shared" si="11"/>
        <v/>
      </c>
      <c r="Y11" s="15" t="str">
        <f t="shared" si="12"/>
        <v/>
      </c>
      <c r="Z11" s="15" t="str">
        <f t="shared" si="13"/>
        <v/>
      </c>
      <c r="AA11" s="15" t="str">
        <f t="shared" si="14"/>
        <v/>
      </c>
      <c r="AB11" s="15" t="str">
        <f t="shared" si="15"/>
        <v/>
      </c>
      <c r="AC11" s="15" t="str">
        <f t="shared" si="16"/>
        <v/>
      </c>
      <c r="AD11" s="15" t="str">
        <f t="shared" si="17"/>
        <v/>
      </c>
      <c r="AE11" s="15" t="str">
        <f t="shared" si="18"/>
        <v/>
      </c>
      <c r="AF11" s="15" t="str">
        <f t="shared" si="19"/>
        <v/>
      </c>
      <c r="AG11" s="15" t="str">
        <f t="shared" si="20"/>
        <v/>
      </c>
      <c r="AH11" s="15" t="str">
        <f t="shared" si="21"/>
        <v/>
      </c>
      <c r="AI11" s="15" t="str">
        <f t="shared" si="22"/>
        <v/>
      </c>
      <c r="AJ11" s="15" t="str">
        <f t="shared" si="23"/>
        <v/>
      </c>
      <c r="AK11" s="15" t="str">
        <f t="shared" si="24"/>
        <v/>
      </c>
      <c r="AL11" s="15" t="str">
        <f t="shared" si="25"/>
        <v/>
      </c>
      <c r="AM11" s="15">
        <f t="shared" si="26"/>
        <v>1</v>
      </c>
      <c r="AN11" s="15">
        <f t="shared" si="27"/>
        <v>2</v>
      </c>
      <c r="AO11" s="15">
        <f t="shared" si="28"/>
        <v>5</v>
      </c>
      <c r="AP11" s="15">
        <f t="shared" si="29"/>
        <v>2</v>
      </c>
    </row>
    <row r="12" ht="12.75" customHeight="1">
      <c r="A12" s="7" t="s">
        <v>15</v>
      </c>
      <c r="B12" s="7" t="s">
        <v>10</v>
      </c>
      <c r="C12" s="7" t="s">
        <v>12</v>
      </c>
      <c r="D12" s="7" t="s">
        <v>15</v>
      </c>
      <c r="E12" s="8">
        <f t="shared" ref="E12:H12" si="36">IF(A12="&lt; Rp10.000",1,
IF(A12="Rp10.000 – Rp20.000",2,
IF(A12="Rp21.000 – Rp35.000",3,
IF(A12="Rp36.000 – Rp50.000",4,
IF(A12="&gt; Rp50.000",5,"")))))</f>
        <v>3</v>
      </c>
      <c r="F12" s="8">
        <f t="shared" si="36"/>
        <v>2</v>
      </c>
      <c r="G12" s="8">
        <f t="shared" si="36"/>
        <v>5</v>
      </c>
      <c r="H12" s="8">
        <f t="shared" si="36"/>
        <v>3</v>
      </c>
      <c r="I12" s="9"/>
      <c r="J12" s="9"/>
      <c r="K12" s="9"/>
      <c r="L12" s="9"/>
      <c r="M12" s="9"/>
      <c r="N12" s="9"/>
      <c r="O12" s="9"/>
      <c r="P12" s="14">
        <f t="shared" si="4"/>
        <v>1.414213562</v>
      </c>
      <c r="Q12" s="14">
        <f t="shared" si="5"/>
        <v>1.414213562</v>
      </c>
      <c r="R12" s="14">
        <f t="shared" si="6"/>
        <v>2.645751311</v>
      </c>
      <c r="S12" s="14">
        <f t="shared" si="7"/>
        <v>5</v>
      </c>
      <c r="T12" s="14">
        <f t="shared" si="8"/>
        <v>2.449489743</v>
      </c>
      <c r="U12" s="14">
        <f t="shared" si="9"/>
        <v>1</v>
      </c>
      <c r="V12" s="9"/>
      <c r="W12" s="15">
        <f t="shared" si="10"/>
        <v>1</v>
      </c>
      <c r="X12" s="15">
        <f t="shared" si="11"/>
        <v>2</v>
      </c>
      <c r="Y12" s="15">
        <f t="shared" si="12"/>
        <v>4</v>
      </c>
      <c r="Z12" s="15">
        <f t="shared" si="13"/>
        <v>5</v>
      </c>
      <c r="AA12" s="15" t="str">
        <f t="shared" si="14"/>
        <v/>
      </c>
      <c r="AB12" s="15" t="str">
        <f t="shared" si="15"/>
        <v/>
      </c>
      <c r="AC12" s="15" t="str">
        <f t="shared" si="16"/>
        <v/>
      </c>
      <c r="AD12" s="15">
        <f t="shared" si="17"/>
        <v>5</v>
      </c>
      <c r="AE12" s="15" t="str">
        <f t="shared" si="18"/>
        <v/>
      </c>
      <c r="AF12" s="15" t="str">
        <f t="shared" si="19"/>
        <v/>
      </c>
      <c r="AG12" s="15" t="str">
        <f t="shared" si="20"/>
        <v/>
      </c>
      <c r="AH12" s="15" t="str">
        <f t="shared" si="21"/>
        <v/>
      </c>
      <c r="AI12" s="15" t="str">
        <f t="shared" si="22"/>
        <v/>
      </c>
      <c r="AJ12" s="15" t="str">
        <f t="shared" si="23"/>
        <v/>
      </c>
      <c r="AK12" s="15" t="str">
        <f t="shared" si="24"/>
        <v/>
      </c>
      <c r="AL12" s="15" t="str">
        <f t="shared" si="25"/>
        <v/>
      </c>
      <c r="AM12" s="15" t="str">
        <f t="shared" si="26"/>
        <v/>
      </c>
      <c r="AN12" s="15" t="str">
        <f t="shared" si="27"/>
        <v/>
      </c>
      <c r="AO12" s="15" t="str">
        <f t="shared" si="28"/>
        <v/>
      </c>
      <c r="AP12" s="15" t="str">
        <f t="shared" si="29"/>
        <v/>
      </c>
    </row>
    <row r="13" ht="12.75" customHeight="1">
      <c r="A13" s="7" t="s">
        <v>11</v>
      </c>
      <c r="B13" s="7" t="s">
        <v>15</v>
      </c>
      <c r="C13" s="7" t="s">
        <v>18</v>
      </c>
      <c r="D13" s="7" t="s">
        <v>18</v>
      </c>
      <c r="E13" s="8">
        <f t="shared" ref="E13:H13" si="37">IF(A13="&lt; Rp10.000",1,
IF(A13="Rp10.000 – Rp20.000",2,
IF(A13="Rp21.000 – Rp35.000",3,
IF(A13="Rp36.000 – Rp50.000",4,
IF(A13="&gt; Rp50.000",5,"")))))</f>
        <v>1</v>
      </c>
      <c r="F13" s="8">
        <f t="shared" si="37"/>
        <v>3</v>
      </c>
      <c r="G13" s="8">
        <f t="shared" si="37"/>
        <v>4</v>
      </c>
      <c r="H13" s="8">
        <f t="shared" si="37"/>
        <v>4</v>
      </c>
      <c r="I13" s="9"/>
      <c r="J13" s="9"/>
      <c r="K13" s="9"/>
      <c r="L13" s="9"/>
      <c r="M13" s="9"/>
      <c r="N13" s="9"/>
      <c r="O13" s="9"/>
      <c r="P13" s="14">
        <f t="shared" si="4"/>
        <v>3</v>
      </c>
      <c r="Q13" s="14">
        <f t="shared" si="5"/>
        <v>2.236067977</v>
      </c>
      <c r="R13" s="14">
        <f t="shared" si="6"/>
        <v>2.449489743</v>
      </c>
      <c r="S13" s="14">
        <f t="shared" si="7"/>
        <v>4.898979486</v>
      </c>
      <c r="T13" s="14">
        <f t="shared" si="8"/>
        <v>1</v>
      </c>
      <c r="U13" s="14">
        <f t="shared" si="9"/>
        <v>5</v>
      </c>
      <c r="V13" s="9"/>
      <c r="W13" s="15" t="str">
        <f t="shared" si="10"/>
        <v/>
      </c>
      <c r="X13" s="15" t="str">
        <f t="shared" si="11"/>
        <v/>
      </c>
      <c r="Y13" s="15" t="str">
        <f t="shared" si="12"/>
        <v/>
      </c>
      <c r="Z13" s="15" t="str">
        <f t="shared" si="13"/>
        <v/>
      </c>
      <c r="AA13" s="15" t="str">
        <f t="shared" si="14"/>
        <v/>
      </c>
      <c r="AB13" s="15" t="str">
        <f t="shared" si="15"/>
        <v/>
      </c>
      <c r="AC13" s="15" t="str">
        <f t="shared" si="16"/>
        <v/>
      </c>
      <c r="AD13" s="15" t="str">
        <f t="shared" si="17"/>
        <v/>
      </c>
      <c r="AE13" s="15" t="str">
        <f t="shared" si="18"/>
        <v/>
      </c>
      <c r="AF13" s="15" t="str">
        <f t="shared" si="19"/>
        <v/>
      </c>
      <c r="AG13" s="15" t="str">
        <f t="shared" si="20"/>
        <v/>
      </c>
      <c r="AH13" s="15" t="str">
        <f t="shared" si="21"/>
        <v/>
      </c>
      <c r="AI13" s="15" t="str">
        <f t="shared" si="22"/>
        <v/>
      </c>
      <c r="AJ13" s="15" t="str">
        <f t="shared" si="23"/>
        <v/>
      </c>
      <c r="AK13" s="15" t="str">
        <f t="shared" si="24"/>
        <v/>
      </c>
      <c r="AL13" s="15" t="str">
        <f t="shared" si="25"/>
        <v/>
      </c>
      <c r="AM13" s="15">
        <f t="shared" si="26"/>
        <v>3</v>
      </c>
      <c r="AN13" s="15">
        <f t="shared" si="27"/>
        <v>2</v>
      </c>
      <c r="AO13" s="15">
        <f t="shared" si="28"/>
        <v>5</v>
      </c>
      <c r="AP13" s="15">
        <f t="shared" si="29"/>
        <v>3</v>
      </c>
    </row>
    <row r="14" ht="12.75" customHeight="1">
      <c r="A14" s="7" t="s">
        <v>10</v>
      </c>
      <c r="B14" s="7" t="s">
        <v>10</v>
      </c>
      <c r="C14" s="7" t="s">
        <v>15</v>
      </c>
      <c r="D14" s="7" t="s">
        <v>15</v>
      </c>
      <c r="E14" s="8">
        <f t="shared" ref="E14:H14" si="38">IF(A14="&lt; Rp10.000",1,
IF(A14="Rp10.000 – Rp20.000",2,
IF(A14="Rp21.000 – Rp35.000",3,
IF(A14="Rp36.000 – Rp50.000",4,
IF(A14="&gt; Rp50.000",5,"")))))</f>
        <v>2</v>
      </c>
      <c r="F14" s="8">
        <f t="shared" si="38"/>
        <v>2</v>
      </c>
      <c r="G14" s="8">
        <f t="shared" si="38"/>
        <v>3</v>
      </c>
      <c r="H14" s="8">
        <f t="shared" si="38"/>
        <v>3</v>
      </c>
      <c r="I14" s="9"/>
      <c r="J14" s="9"/>
      <c r="K14" s="9"/>
      <c r="L14" s="9"/>
      <c r="M14" s="9"/>
      <c r="N14" s="9"/>
      <c r="O14" s="9"/>
      <c r="P14" s="14">
        <f t="shared" si="4"/>
        <v>1.414213562</v>
      </c>
      <c r="Q14" s="14">
        <f t="shared" si="5"/>
        <v>1.414213562</v>
      </c>
      <c r="R14" s="14">
        <f t="shared" si="6"/>
        <v>1.732050808</v>
      </c>
      <c r="S14" s="14">
        <f t="shared" si="7"/>
        <v>4.358898944</v>
      </c>
      <c r="T14" s="14">
        <f t="shared" si="8"/>
        <v>2</v>
      </c>
      <c r="U14" s="14">
        <f t="shared" si="9"/>
        <v>1</v>
      </c>
      <c r="V14" s="9"/>
      <c r="W14" s="15">
        <f t="shared" si="10"/>
        <v>1</v>
      </c>
      <c r="X14" s="15">
        <f t="shared" si="11"/>
        <v>3</v>
      </c>
      <c r="Y14" s="15">
        <f t="shared" si="12"/>
        <v>4</v>
      </c>
      <c r="Z14" s="15">
        <f t="shared" si="13"/>
        <v>4</v>
      </c>
      <c r="AA14" s="15" t="str">
        <f t="shared" si="14"/>
        <v/>
      </c>
      <c r="AB14" s="15" t="str">
        <f t="shared" si="15"/>
        <v/>
      </c>
      <c r="AC14" s="15" t="str">
        <f t="shared" si="16"/>
        <v/>
      </c>
      <c r="AD14" s="15">
        <f t="shared" si="17"/>
        <v>4</v>
      </c>
      <c r="AE14" s="15" t="str">
        <f t="shared" si="18"/>
        <v/>
      </c>
      <c r="AF14" s="15" t="str">
        <f t="shared" si="19"/>
        <v/>
      </c>
      <c r="AG14" s="15" t="str">
        <f t="shared" si="20"/>
        <v/>
      </c>
      <c r="AH14" s="15" t="str">
        <f t="shared" si="21"/>
        <v/>
      </c>
      <c r="AI14" s="15" t="str">
        <f t="shared" si="22"/>
        <v/>
      </c>
      <c r="AJ14" s="15" t="str">
        <f t="shared" si="23"/>
        <v/>
      </c>
      <c r="AK14" s="15" t="str">
        <f t="shared" si="24"/>
        <v/>
      </c>
      <c r="AL14" s="15" t="str">
        <f t="shared" si="25"/>
        <v/>
      </c>
      <c r="AM14" s="15" t="str">
        <f t="shared" si="26"/>
        <v/>
      </c>
      <c r="AN14" s="15" t="str">
        <f t="shared" si="27"/>
        <v/>
      </c>
      <c r="AO14" s="15" t="str">
        <f t="shared" si="28"/>
        <v/>
      </c>
      <c r="AP14" s="15" t="str">
        <f t="shared" si="29"/>
        <v/>
      </c>
    </row>
    <row r="15" ht="12.75" customHeight="1">
      <c r="A15" s="7" t="s">
        <v>10</v>
      </c>
      <c r="B15" s="7" t="s">
        <v>10</v>
      </c>
      <c r="C15" s="7" t="s">
        <v>18</v>
      </c>
      <c r="D15" s="7" t="s">
        <v>15</v>
      </c>
      <c r="E15" s="8">
        <f t="shared" ref="E15:H15" si="39">IF(A15="&lt; Rp10.000",1,
IF(A15="Rp10.000 – Rp20.000",2,
IF(A15="Rp21.000 – Rp35.000",3,
IF(A15="Rp36.000 – Rp50.000",4,
IF(A15="&gt; Rp50.000",5,"")))))</f>
        <v>2</v>
      </c>
      <c r="F15" s="8">
        <f t="shared" si="39"/>
        <v>2</v>
      </c>
      <c r="G15" s="8">
        <f t="shared" si="39"/>
        <v>4</v>
      </c>
      <c r="H15" s="8">
        <f t="shared" si="39"/>
        <v>3</v>
      </c>
      <c r="I15" s="9"/>
      <c r="J15" s="9"/>
      <c r="K15" s="9"/>
      <c r="L15" s="9"/>
      <c r="M15" s="9"/>
      <c r="N15" s="9"/>
      <c r="O15" s="9"/>
      <c r="P15" s="14">
        <f t="shared" si="4"/>
        <v>3.16227766</v>
      </c>
      <c r="Q15" s="14">
        <f t="shared" si="5"/>
        <v>2.449489743</v>
      </c>
      <c r="R15" s="14">
        <f t="shared" si="6"/>
        <v>1</v>
      </c>
      <c r="S15" s="14">
        <f t="shared" si="7"/>
        <v>3</v>
      </c>
      <c r="T15" s="14">
        <f t="shared" si="8"/>
        <v>2</v>
      </c>
      <c r="U15" s="14">
        <f t="shared" si="9"/>
        <v>3</v>
      </c>
      <c r="V15" s="9"/>
      <c r="W15" s="15" t="str">
        <f t="shared" si="10"/>
        <v/>
      </c>
      <c r="X15" s="15" t="str">
        <f t="shared" si="11"/>
        <v/>
      </c>
      <c r="Y15" s="15" t="str">
        <f t="shared" si="12"/>
        <v/>
      </c>
      <c r="Z15" s="15" t="str">
        <f t="shared" si="13"/>
        <v/>
      </c>
      <c r="AA15" s="15" t="str">
        <f t="shared" si="14"/>
        <v/>
      </c>
      <c r="AB15" s="15" t="str">
        <f t="shared" si="15"/>
        <v/>
      </c>
      <c r="AC15" s="15" t="str">
        <f t="shared" si="16"/>
        <v/>
      </c>
      <c r="AD15" s="15" t="str">
        <f t="shared" si="17"/>
        <v/>
      </c>
      <c r="AE15" s="15">
        <f t="shared" si="18"/>
        <v>2</v>
      </c>
      <c r="AF15" s="15">
        <f t="shared" si="19"/>
        <v>2</v>
      </c>
      <c r="AG15" s="15">
        <f t="shared" si="20"/>
        <v>3</v>
      </c>
      <c r="AH15" s="15">
        <f t="shared" si="21"/>
        <v>3</v>
      </c>
      <c r="AI15" s="15" t="str">
        <f t="shared" si="22"/>
        <v/>
      </c>
      <c r="AJ15" s="15" t="str">
        <f t="shared" si="23"/>
        <v/>
      </c>
      <c r="AK15" s="15" t="str">
        <f t="shared" si="24"/>
        <v/>
      </c>
      <c r="AL15" s="15" t="str">
        <f t="shared" si="25"/>
        <v/>
      </c>
      <c r="AM15" s="15" t="str">
        <f t="shared" si="26"/>
        <v/>
      </c>
      <c r="AN15" s="15" t="str">
        <f t="shared" si="27"/>
        <v/>
      </c>
      <c r="AO15" s="15" t="str">
        <f t="shared" si="28"/>
        <v/>
      </c>
      <c r="AP15" s="15" t="str">
        <f t="shared" si="29"/>
        <v/>
      </c>
    </row>
    <row r="16" ht="12.75" customHeight="1">
      <c r="A16" s="7" t="s">
        <v>11</v>
      </c>
      <c r="B16" s="7" t="s">
        <v>15</v>
      </c>
      <c r="C16" s="7" t="s">
        <v>12</v>
      </c>
      <c r="D16" s="7" t="s">
        <v>18</v>
      </c>
      <c r="E16" s="8">
        <f t="shared" ref="E16:H16" si="40">IF(A16="&lt; Rp10.000",1,
IF(A16="Rp10.000 – Rp20.000",2,
IF(A16="Rp21.000 – Rp35.000",3,
IF(A16="Rp36.000 – Rp50.000",4,
IF(A16="&gt; Rp50.000",5,"")))))</f>
        <v>1</v>
      </c>
      <c r="F16" s="8">
        <f t="shared" si="40"/>
        <v>3</v>
      </c>
      <c r="G16" s="8">
        <f t="shared" si="40"/>
        <v>5</v>
      </c>
      <c r="H16" s="8">
        <f t="shared" si="40"/>
        <v>4</v>
      </c>
      <c r="I16" s="9"/>
      <c r="J16" s="9"/>
      <c r="K16" s="9"/>
      <c r="L16" s="9"/>
      <c r="M16" s="9"/>
      <c r="N16" s="9"/>
      <c r="O16" s="9"/>
      <c r="P16" s="14">
        <f t="shared" si="4"/>
        <v>2.645751311</v>
      </c>
      <c r="Q16" s="14">
        <f t="shared" si="5"/>
        <v>1.732050808</v>
      </c>
      <c r="R16" s="14">
        <f t="shared" si="6"/>
        <v>1.414213562</v>
      </c>
      <c r="S16" s="14">
        <f t="shared" si="7"/>
        <v>3.741657387</v>
      </c>
      <c r="T16" s="14">
        <f t="shared" si="8"/>
        <v>1</v>
      </c>
      <c r="U16" s="14">
        <f t="shared" si="9"/>
        <v>5</v>
      </c>
      <c r="V16" s="9"/>
      <c r="W16" s="15" t="str">
        <f t="shared" si="10"/>
        <v/>
      </c>
      <c r="X16" s="15" t="str">
        <f t="shared" si="11"/>
        <v/>
      </c>
      <c r="Y16" s="15" t="str">
        <f t="shared" si="12"/>
        <v/>
      </c>
      <c r="Z16" s="15" t="str">
        <f t="shared" si="13"/>
        <v/>
      </c>
      <c r="AA16" s="15" t="str">
        <f t="shared" si="14"/>
        <v/>
      </c>
      <c r="AB16" s="15" t="str">
        <f t="shared" si="15"/>
        <v/>
      </c>
      <c r="AC16" s="15" t="str">
        <f t="shared" si="16"/>
        <v/>
      </c>
      <c r="AD16" s="15" t="str">
        <f t="shared" si="17"/>
        <v/>
      </c>
      <c r="AE16" s="15" t="str">
        <f t="shared" si="18"/>
        <v/>
      </c>
      <c r="AF16" s="15" t="str">
        <f t="shared" si="19"/>
        <v/>
      </c>
      <c r="AG16" s="15" t="str">
        <f t="shared" si="20"/>
        <v/>
      </c>
      <c r="AH16" s="15" t="str">
        <f t="shared" si="21"/>
        <v/>
      </c>
      <c r="AI16" s="15" t="str">
        <f t="shared" si="22"/>
        <v/>
      </c>
      <c r="AJ16" s="15" t="str">
        <f t="shared" si="23"/>
        <v/>
      </c>
      <c r="AK16" s="15" t="str">
        <f t="shared" si="24"/>
        <v/>
      </c>
      <c r="AL16" s="15" t="str">
        <f t="shared" si="25"/>
        <v/>
      </c>
      <c r="AM16" s="15">
        <f t="shared" si="26"/>
        <v>2</v>
      </c>
      <c r="AN16" s="15">
        <f t="shared" si="27"/>
        <v>2</v>
      </c>
      <c r="AO16" s="15">
        <f t="shared" si="28"/>
        <v>4</v>
      </c>
      <c r="AP16" s="15">
        <f t="shared" si="29"/>
        <v>3</v>
      </c>
    </row>
    <row r="17" ht="12.75" customHeight="1">
      <c r="A17" s="7" t="s">
        <v>11</v>
      </c>
      <c r="B17" s="7" t="s">
        <v>10</v>
      </c>
      <c r="C17" s="7" t="s">
        <v>12</v>
      </c>
      <c r="D17" s="7" t="s">
        <v>18</v>
      </c>
      <c r="E17" s="8">
        <f t="shared" ref="E17:H17" si="41">IF(A17="&lt; Rp10.000",1,
IF(A17="Rp10.000 – Rp20.000",2,
IF(A17="Rp21.000 – Rp35.000",3,
IF(A17="Rp36.000 – Rp50.000",4,
IF(A17="&gt; Rp50.000",5,"")))))</f>
        <v>1</v>
      </c>
      <c r="F17" s="8">
        <f t="shared" si="41"/>
        <v>2</v>
      </c>
      <c r="G17" s="8">
        <f t="shared" si="41"/>
        <v>5</v>
      </c>
      <c r="H17" s="8">
        <f t="shared" si="41"/>
        <v>4</v>
      </c>
      <c r="I17" s="9"/>
      <c r="J17" s="9"/>
      <c r="K17" s="9"/>
      <c r="L17" s="9"/>
      <c r="M17" s="9"/>
      <c r="N17" s="9"/>
      <c r="O17" s="9"/>
      <c r="P17" s="14">
        <f t="shared" si="4"/>
        <v>1</v>
      </c>
      <c r="Q17" s="14">
        <f t="shared" si="5"/>
        <v>1</v>
      </c>
      <c r="R17" s="14">
        <f t="shared" si="6"/>
        <v>2.449489743</v>
      </c>
      <c r="S17" s="14">
        <f t="shared" si="7"/>
        <v>5.099019514</v>
      </c>
      <c r="T17" s="14">
        <f t="shared" si="8"/>
        <v>1.732050808</v>
      </c>
      <c r="U17" s="14">
        <f t="shared" si="9"/>
        <v>1</v>
      </c>
      <c r="V17" s="9"/>
      <c r="W17" s="15">
        <f t="shared" si="10"/>
        <v>1</v>
      </c>
      <c r="X17" s="15">
        <f t="shared" si="11"/>
        <v>3</v>
      </c>
      <c r="Y17" s="15">
        <f t="shared" si="12"/>
        <v>5</v>
      </c>
      <c r="Z17" s="15">
        <f t="shared" si="13"/>
        <v>4</v>
      </c>
      <c r="AA17" s="15" t="str">
        <f t="shared" si="14"/>
        <v/>
      </c>
      <c r="AB17" s="15" t="str">
        <f t="shared" si="15"/>
        <v/>
      </c>
      <c r="AC17" s="15" t="str">
        <f t="shared" si="16"/>
        <v/>
      </c>
      <c r="AD17" s="15">
        <f t="shared" si="17"/>
        <v>4</v>
      </c>
      <c r="AE17" s="15" t="str">
        <f t="shared" si="18"/>
        <v/>
      </c>
      <c r="AF17" s="15" t="str">
        <f t="shared" si="19"/>
        <v/>
      </c>
      <c r="AG17" s="15" t="str">
        <f t="shared" si="20"/>
        <v/>
      </c>
      <c r="AH17" s="15" t="str">
        <f t="shared" si="21"/>
        <v/>
      </c>
      <c r="AI17" s="15" t="str">
        <f t="shared" si="22"/>
        <v/>
      </c>
      <c r="AJ17" s="15" t="str">
        <f t="shared" si="23"/>
        <v/>
      </c>
      <c r="AK17" s="15" t="str">
        <f t="shared" si="24"/>
        <v/>
      </c>
      <c r="AL17" s="15" t="str">
        <f t="shared" si="25"/>
        <v/>
      </c>
      <c r="AM17" s="15" t="str">
        <f t="shared" si="26"/>
        <v/>
      </c>
      <c r="AN17" s="15" t="str">
        <f t="shared" si="27"/>
        <v/>
      </c>
      <c r="AO17" s="15" t="str">
        <f t="shared" si="28"/>
        <v/>
      </c>
      <c r="AP17" s="15" t="str">
        <f t="shared" si="29"/>
        <v/>
      </c>
    </row>
    <row r="18" ht="12.75" customHeight="1">
      <c r="A18" s="7" t="s">
        <v>11</v>
      </c>
      <c r="B18" s="7" t="s">
        <v>10</v>
      </c>
      <c r="C18" s="7" t="s">
        <v>12</v>
      </c>
      <c r="D18" s="7" t="s">
        <v>10</v>
      </c>
      <c r="E18" s="8">
        <f t="shared" ref="E18:H18" si="42">IF(A18="&lt; Rp10.000",1,
IF(A18="Rp10.000 – Rp20.000",2,
IF(A18="Rp21.000 – Rp35.000",3,
IF(A18="Rp36.000 – Rp50.000",4,
IF(A18="&gt; Rp50.000",5,"")))))</f>
        <v>1</v>
      </c>
      <c r="F18" s="8">
        <f t="shared" si="42"/>
        <v>2</v>
      </c>
      <c r="G18" s="8">
        <f t="shared" si="42"/>
        <v>5</v>
      </c>
      <c r="H18" s="8">
        <f t="shared" si="42"/>
        <v>2</v>
      </c>
      <c r="I18" s="9"/>
      <c r="J18" s="9"/>
      <c r="K18" s="9"/>
      <c r="L18" s="9"/>
      <c r="M18" s="9"/>
      <c r="N18" s="9"/>
      <c r="O18" s="9"/>
      <c r="P18" s="14">
        <f t="shared" si="4"/>
        <v>1.414213562</v>
      </c>
      <c r="Q18" s="14">
        <f t="shared" si="5"/>
        <v>0</v>
      </c>
      <c r="R18" s="14">
        <f t="shared" si="6"/>
        <v>2.645751311</v>
      </c>
      <c r="S18" s="14">
        <f t="shared" si="7"/>
        <v>5</v>
      </c>
      <c r="T18" s="14">
        <f t="shared" si="8"/>
        <v>1.414213562</v>
      </c>
      <c r="U18" s="14">
        <f t="shared" si="9"/>
        <v>2</v>
      </c>
      <c r="V18" s="9"/>
      <c r="W18" s="15" t="str">
        <f t="shared" si="10"/>
        <v/>
      </c>
      <c r="X18" s="15" t="str">
        <f t="shared" si="11"/>
        <v/>
      </c>
      <c r="Y18" s="15" t="str">
        <f t="shared" si="12"/>
        <v/>
      </c>
      <c r="Z18" s="15" t="str">
        <f t="shared" si="13"/>
        <v/>
      </c>
      <c r="AA18" s="15">
        <f t="shared" si="14"/>
        <v>1</v>
      </c>
      <c r="AB18" s="15">
        <f t="shared" si="15"/>
        <v>2</v>
      </c>
      <c r="AC18" s="15">
        <f t="shared" si="16"/>
        <v>5</v>
      </c>
      <c r="AD18" s="15" t="str">
        <f t="shared" si="17"/>
        <v/>
      </c>
      <c r="AE18" s="15" t="str">
        <f t="shared" si="18"/>
        <v/>
      </c>
      <c r="AF18" s="15" t="str">
        <f t="shared" si="19"/>
        <v/>
      </c>
      <c r="AG18" s="15" t="str">
        <f t="shared" si="20"/>
        <v/>
      </c>
      <c r="AH18" s="15" t="str">
        <f t="shared" si="21"/>
        <v/>
      </c>
      <c r="AI18" s="15" t="str">
        <f t="shared" si="22"/>
        <v/>
      </c>
      <c r="AJ18" s="15" t="str">
        <f t="shared" si="23"/>
        <v/>
      </c>
      <c r="AK18" s="15" t="str">
        <f t="shared" si="24"/>
        <v/>
      </c>
      <c r="AL18" s="15" t="str">
        <f t="shared" si="25"/>
        <v/>
      </c>
      <c r="AM18" s="15" t="str">
        <f t="shared" si="26"/>
        <v/>
      </c>
      <c r="AN18" s="15" t="str">
        <f t="shared" si="27"/>
        <v/>
      </c>
      <c r="AO18" s="15" t="str">
        <f t="shared" si="28"/>
        <v/>
      </c>
      <c r="AP18" s="15" t="str">
        <f t="shared" si="29"/>
        <v/>
      </c>
    </row>
    <row r="19" ht="12.75" customHeight="1">
      <c r="A19" s="7" t="s">
        <v>18</v>
      </c>
      <c r="B19" s="7" t="s">
        <v>15</v>
      </c>
      <c r="C19" s="7" t="s">
        <v>12</v>
      </c>
      <c r="D19" s="7" t="s">
        <v>12</v>
      </c>
      <c r="E19" s="8">
        <f t="shared" ref="E19:H19" si="43">IF(A19="&lt; Rp10.000",1,
IF(A19="Rp10.000 – Rp20.000",2,
IF(A19="Rp21.000 – Rp35.000",3,
IF(A19="Rp36.000 – Rp50.000",4,
IF(A19="&gt; Rp50.000",5,"")))))</f>
        <v>4</v>
      </c>
      <c r="F19" s="8">
        <f t="shared" si="43"/>
        <v>3</v>
      </c>
      <c r="G19" s="8">
        <f t="shared" si="43"/>
        <v>5</v>
      </c>
      <c r="H19" s="8">
        <f t="shared" si="43"/>
        <v>5</v>
      </c>
      <c r="I19" s="9"/>
      <c r="J19" s="9"/>
      <c r="K19" s="9"/>
      <c r="L19" s="9"/>
      <c r="M19" s="9"/>
      <c r="N19" s="9"/>
      <c r="O19" s="9"/>
      <c r="P19" s="14">
        <f t="shared" si="4"/>
        <v>3.16227766</v>
      </c>
      <c r="Q19" s="14">
        <f t="shared" si="5"/>
        <v>2</v>
      </c>
      <c r="R19" s="14">
        <f t="shared" si="6"/>
        <v>2.645751311</v>
      </c>
      <c r="S19" s="14">
        <f t="shared" si="7"/>
        <v>4.123105626</v>
      </c>
      <c r="T19" s="14">
        <f t="shared" si="8"/>
        <v>1.414213562</v>
      </c>
      <c r="U19" s="14">
        <f t="shared" si="9"/>
        <v>5</v>
      </c>
      <c r="V19" s="9"/>
      <c r="W19" s="15" t="str">
        <f t="shared" si="10"/>
        <v/>
      </c>
      <c r="X19" s="15" t="str">
        <f t="shared" si="11"/>
        <v/>
      </c>
      <c r="Y19" s="15" t="str">
        <f t="shared" si="12"/>
        <v/>
      </c>
      <c r="Z19" s="15" t="str">
        <f t="shared" si="13"/>
        <v/>
      </c>
      <c r="AA19" s="15" t="str">
        <f t="shared" si="14"/>
        <v/>
      </c>
      <c r="AB19" s="15" t="str">
        <f t="shared" si="15"/>
        <v/>
      </c>
      <c r="AC19" s="15" t="str">
        <f t="shared" si="16"/>
        <v/>
      </c>
      <c r="AD19" s="15" t="str">
        <f t="shared" si="17"/>
        <v/>
      </c>
      <c r="AE19" s="15" t="str">
        <f t="shared" si="18"/>
        <v/>
      </c>
      <c r="AF19" s="15" t="str">
        <f t="shared" si="19"/>
        <v/>
      </c>
      <c r="AG19" s="15" t="str">
        <f t="shared" si="20"/>
        <v/>
      </c>
      <c r="AH19" s="15" t="str">
        <f t="shared" si="21"/>
        <v/>
      </c>
      <c r="AI19" s="15" t="str">
        <f t="shared" si="22"/>
        <v/>
      </c>
      <c r="AJ19" s="15" t="str">
        <f t="shared" si="23"/>
        <v/>
      </c>
      <c r="AK19" s="15" t="str">
        <f t="shared" si="24"/>
        <v/>
      </c>
      <c r="AL19" s="15" t="str">
        <f t="shared" si="25"/>
        <v/>
      </c>
      <c r="AM19" s="15">
        <f t="shared" si="26"/>
        <v>1</v>
      </c>
      <c r="AN19" s="15">
        <f t="shared" si="27"/>
        <v>2</v>
      </c>
      <c r="AO19" s="15">
        <f t="shared" si="28"/>
        <v>5</v>
      </c>
      <c r="AP19" s="15">
        <f t="shared" si="29"/>
        <v>2</v>
      </c>
    </row>
    <row r="20" ht="12.75" customHeight="1">
      <c r="A20" s="7" t="s">
        <v>11</v>
      </c>
      <c r="B20" s="7" t="s">
        <v>10</v>
      </c>
      <c r="C20" s="7" t="s">
        <v>12</v>
      </c>
      <c r="D20" s="7" t="s">
        <v>12</v>
      </c>
      <c r="E20" s="8">
        <f t="shared" ref="E20:H20" si="44">IF(A20="&lt; Rp10.000",1,
IF(A20="Rp10.000 – Rp20.000",2,
IF(A20="Rp21.000 – Rp35.000",3,
IF(A20="Rp36.000 – Rp50.000",4,
IF(A20="&gt; Rp50.000",5,"")))))</f>
        <v>1</v>
      </c>
      <c r="F20" s="8">
        <f t="shared" si="44"/>
        <v>2</v>
      </c>
      <c r="G20" s="8">
        <f t="shared" si="44"/>
        <v>5</v>
      </c>
      <c r="H20" s="8">
        <f t="shared" si="44"/>
        <v>5</v>
      </c>
      <c r="I20" s="9"/>
      <c r="J20" s="9"/>
      <c r="K20" s="9"/>
      <c r="L20" s="9"/>
      <c r="M20" s="9"/>
      <c r="N20" s="9"/>
      <c r="O20" s="9"/>
      <c r="P20" s="14">
        <f t="shared" si="4"/>
        <v>3</v>
      </c>
      <c r="Q20" s="14">
        <f t="shared" si="5"/>
        <v>3.31662479</v>
      </c>
      <c r="R20" s="14">
        <f t="shared" si="6"/>
        <v>3.464101615</v>
      </c>
      <c r="S20" s="14">
        <f t="shared" si="7"/>
        <v>6.480740698</v>
      </c>
      <c r="T20" s="14">
        <f t="shared" si="8"/>
        <v>3</v>
      </c>
      <c r="U20" s="14">
        <f t="shared" si="9"/>
        <v>1</v>
      </c>
      <c r="V20" s="9"/>
      <c r="W20" s="15">
        <f t="shared" si="10"/>
        <v>4</v>
      </c>
      <c r="X20" s="15">
        <f t="shared" si="11"/>
        <v>3</v>
      </c>
      <c r="Y20" s="15">
        <f t="shared" si="12"/>
        <v>5</v>
      </c>
      <c r="Z20" s="15">
        <f t="shared" si="13"/>
        <v>5</v>
      </c>
      <c r="AA20" s="15" t="str">
        <f t="shared" si="14"/>
        <v/>
      </c>
      <c r="AB20" s="15" t="str">
        <f t="shared" si="15"/>
        <v/>
      </c>
      <c r="AC20" s="15" t="str">
        <f t="shared" si="16"/>
        <v/>
      </c>
      <c r="AD20" s="15">
        <f t="shared" si="17"/>
        <v>5</v>
      </c>
      <c r="AE20" s="15" t="str">
        <f t="shared" si="18"/>
        <v/>
      </c>
      <c r="AF20" s="15" t="str">
        <f t="shared" si="19"/>
        <v/>
      </c>
      <c r="AG20" s="15" t="str">
        <f t="shared" si="20"/>
        <v/>
      </c>
      <c r="AH20" s="15" t="str">
        <f t="shared" si="21"/>
        <v/>
      </c>
      <c r="AI20" s="15" t="str">
        <f t="shared" si="22"/>
        <v/>
      </c>
      <c r="AJ20" s="15" t="str">
        <f t="shared" si="23"/>
        <v/>
      </c>
      <c r="AK20" s="15" t="str">
        <f t="shared" si="24"/>
        <v/>
      </c>
      <c r="AL20" s="15" t="str">
        <f t="shared" si="25"/>
        <v/>
      </c>
      <c r="AM20" s="15" t="str">
        <f t="shared" si="26"/>
        <v/>
      </c>
      <c r="AN20" s="15" t="str">
        <f t="shared" si="27"/>
        <v/>
      </c>
      <c r="AO20" s="15" t="str">
        <f t="shared" si="28"/>
        <v/>
      </c>
      <c r="AP20" s="15" t="str">
        <f t="shared" si="29"/>
        <v/>
      </c>
    </row>
    <row r="21" ht="12.75" customHeight="1">
      <c r="A21" s="7" t="s">
        <v>11</v>
      </c>
      <c r="B21" s="7" t="s">
        <v>10</v>
      </c>
      <c r="C21" s="7" t="s">
        <v>15</v>
      </c>
      <c r="D21" s="7" t="s">
        <v>12</v>
      </c>
      <c r="E21" s="8">
        <f t="shared" ref="E21:H21" si="45">IF(A21="&lt; Rp10.000",1,
IF(A21="Rp10.000 – Rp20.000",2,
IF(A21="Rp21.000 – Rp35.000",3,
IF(A21="Rp36.000 – Rp50.000",4,
IF(A21="&gt; Rp50.000",5,"")))))</f>
        <v>1</v>
      </c>
      <c r="F21" s="8">
        <f t="shared" si="45"/>
        <v>2</v>
      </c>
      <c r="G21" s="8">
        <f t="shared" si="45"/>
        <v>3</v>
      </c>
      <c r="H21" s="8">
        <f t="shared" si="45"/>
        <v>5</v>
      </c>
      <c r="I21" s="9"/>
      <c r="J21" s="9"/>
      <c r="K21" s="9"/>
      <c r="L21" s="9"/>
      <c r="M21" s="9"/>
      <c r="N21" s="9"/>
      <c r="O21" s="9"/>
      <c r="P21" s="14">
        <f t="shared" si="4"/>
        <v>1</v>
      </c>
      <c r="Q21" s="14">
        <f t="shared" si="5"/>
        <v>1</v>
      </c>
      <c r="R21" s="14">
        <f t="shared" si="6"/>
        <v>3.16227766</v>
      </c>
      <c r="S21" s="14">
        <f t="shared" si="7"/>
        <v>5.656854249</v>
      </c>
      <c r="T21" s="14">
        <f t="shared" si="8"/>
        <v>2.236067977</v>
      </c>
      <c r="U21" s="14">
        <f t="shared" si="9"/>
        <v>1</v>
      </c>
      <c r="V21" s="9"/>
      <c r="W21" s="15">
        <f t="shared" si="10"/>
        <v>1</v>
      </c>
      <c r="X21" s="15">
        <f t="shared" si="11"/>
        <v>2</v>
      </c>
      <c r="Y21" s="15">
        <f t="shared" si="12"/>
        <v>5</v>
      </c>
      <c r="Z21" s="15">
        <f t="shared" si="13"/>
        <v>5</v>
      </c>
      <c r="AA21" s="15" t="str">
        <f t="shared" si="14"/>
        <v/>
      </c>
      <c r="AB21" s="15" t="str">
        <f t="shared" si="15"/>
        <v/>
      </c>
      <c r="AC21" s="15" t="str">
        <f t="shared" si="16"/>
        <v/>
      </c>
      <c r="AD21" s="15">
        <f t="shared" si="17"/>
        <v>5</v>
      </c>
      <c r="AE21" s="15" t="str">
        <f t="shared" si="18"/>
        <v/>
      </c>
      <c r="AF21" s="15" t="str">
        <f t="shared" si="19"/>
        <v/>
      </c>
      <c r="AG21" s="15" t="str">
        <f t="shared" si="20"/>
        <v/>
      </c>
      <c r="AH21" s="15" t="str">
        <f t="shared" si="21"/>
        <v/>
      </c>
      <c r="AI21" s="15" t="str">
        <f t="shared" si="22"/>
        <v/>
      </c>
      <c r="AJ21" s="15" t="str">
        <f t="shared" si="23"/>
        <v/>
      </c>
      <c r="AK21" s="15" t="str">
        <f t="shared" si="24"/>
        <v/>
      </c>
      <c r="AL21" s="15" t="str">
        <f t="shared" si="25"/>
        <v/>
      </c>
      <c r="AM21" s="15" t="str">
        <f t="shared" si="26"/>
        <v/>
      </c>
      <c r="AN21" s="15" t="str">
        <f t="shared" si="27"/>
        <v/>
      </c>
      <c r="AO21" s="15" t="str">
        <f t="shared" si="28"/>
        <v/>
      </c>
      <c r="AP21" s="15" t="str">
        <f t="shared" si="29"/>
        <v/>
      </c>
    </row>
    <row r="22" ht="12.75" customHeight="1">
      <c r="A22" s="7" t="s">
        <v>11</v>
      </c>
      <c r="B22" s="7" t="s">
        <v>18</v>
      </c>
      <c r="C22" s="7" t="s">
        <v>12</v>
      </c>
      <c r="D22" s="7" t="s">
        <v>12</v>
      </c>
      <c r="E22" s="8">
        <f t="shared" ref="E22:H22" si="46">IF(A22="&lt; Rp10.000",1,
IF(A22="Rp10.000 – Rp20.000",2,
IF(A22="Rp21.000 – Rp35.000",3,
IF(A22="Rp36.000 – Rp50.000",4,
IF(A22="&gt; Rp50.000",5,"")))))</f>
        <v>1</v>
      </c>
      <c r="F22" s="8">
        <f t="shared" si="46"/>
        <v>4</v>
      </c>
      <c r="G22" s="8">
        <f t="shared" si="46"/>
        <v>5</v>
      </c>
      <c r="H22" s="8">
        <f t="shared" si="46"/>
        <v>5</v>
      </c>
      <c r="I22" s="9"/>
      <c r="J22" s="9"/>
      <c r="K22" s="9"/>
      <c r="L22" s="9"/>
      <c r="M22" s="9"/>
      <c r="N22" s="9"/>
      <c r="O22" s="9"/>
      <c r="P22" s="14">
        <f t="shared" si="4"/>
        <v>2.236067977</v>
      </c>
      <c r="Q22" s="14">
        <f t="shared" si="5"/>
        <v>2.236067977</v>
      </c>
      <c r="R22" s="14">
        <f t="shared" si="6"/>
        <v>2.449489743</v>
      </c>
      <c r="S22" s="14">
        <f t="shared" si="7"/>
        <v>4.472135955</v>
      </c>
      <c r="T22" s="14">
        <f t="shared" si="8"/>
        <v>3</v>
      </c>
      <c r="U22" s="14">
        <f t="shared" si="9"/>
        <v>1</v>
      </c>
      <c r="V22" s="9"/>
      <c r="W22" s="15">
        <f t="shared" si="10"/>
        <v>1</v>
      </c>
      <c r="X22" s="15">
        <f t="shared" si="11"/>
        <v>2</v>
      </c>
      <c r="Y22" s="15">
        <f t="shared" si="12"/>
        <v>3</v>
      </c>
      <c r="Z22" s="15">
        <f t="shared" si="13"/>
        <v>5</v>
      </c>
      <c r="AA22" s="15" t="str">
        <f t="shared" si="14"/>
        <v/>
      </c>
      <c r="AB22" s="15" t="str">
        <f t="shared" si="15"/>
        <v/>
      </c>
      <c r="AC22" s="15" t="str">
        <f t="shared" si="16"/>
        <v/>
      </c>
      <c r="AD22" s="15">
        <f t="shared" si="17"/>
        <v>5</v>
      </c>
      <c r="AE22" s="15" t="str">
        <f t="shared" si="18"/>
        <v/>
      </c>
      <c r="AF22" s="15" t="str">
        <f t="shared" si="19"/>
        <v/>
      </c>
      <c r="AG22" s="15" t="str">
        <f t="shared" si="20"/>
        <v/>
      </c>
      <c r="AH22" s="15" t="str">
        <f t="shared" si="21"/>
        <v/>
      </c>
      <c r="AI22" s="15" t="str">
        <f t="shared" si="22"/>
        <v/>
      </c>
      <c r="AJ22" s="15" t="str">
        <f t="shared" si="23"/>
        <v/>
      </c>
      <c r="AK22" s="15" t="str">
        <f t="shared" si="24"/>
        <v/>
      </c>
      <c r="AL22" s="15" t="str">
        <f t="shared" si="25"/>
        <v/>
      </c>
      <c r="AM22" s="15" t="str">
        <f t="shared" si="26"/>
        <v/>
      </c>
      <c r="AN22" s="15" t="str">
        <f t="shared" si="27"/>
        <v/>
      </c>
      <c r="AO22" s="15" t="str">
        <f t="shared" si="28"/>
        <v/>
      </c>
      <c r="AP22" s="15" t="str">
        <f t="shared" si="29"/>
        <v/>
      </c>
    </row>
    <row r="23" ht="12.75" customHeight="1">
      <c r="A23" s="7" t="s">
        <v>18</v>
      </c>
      <c r="B23" s="7" t="s">
        <v>10</v>
      </c>
      <c r="C23" s="7" t="s">
        <v>11</v>
      </c>
      <c r="D23" s="7" t="s">
        <v>18</v>
      </c>
      <c r="E23" s="8">
        <f t="shared" ref="E23:H23" si="47">IF(A23="&lt; Rp10.000",1,
IF(A23="Rp10.000 – Rp20.000",2,
IF(A23="Rp21.000 – Rp35.000",3,
IF(A23="Rp36.000 – Rp50.000",4,
IF(A23="&gt; Rp50.000",5,"")))))</f>
        <v>4</v>
      </c>
      <c r="F23" s="8">
        <f t="shared" si="47"/>
        <v>2</v>
      </c>
      <c r="G23" s="8">
        <f t="shared" si="47"/>
        <v>1</v>
      </c>
      <c r="H23" s="8">
        <f t="shared" si="47"/>
        <v>4</v>
      </c>
      <c r="I23" s="9"/>
      <c r="J23" s="9"/>
      <c r="K23" s="9"/>
      <c r="L23" s="9"/>
      <c r="M23" s="9"/>
      <c r="N23" s="9"/>
      <c r="O23" s="9"/>
      <c r="P23" s="14">
        <f t="shared" si="4"/>
        <v>1</v>
      </c>
      <c r="Q23" s="14">
        <f t="shared" si="5"/>
        <v>2.236067977</v>
      </c>
      <c r="R23" s="14">
        <f t="shared" si="6"/>
        <v>3.16227766</v>
      </c>
      <c r="S23" s="14">
        <f t="shared" si="7"/>
        <v>6</v>
      </c>
      <c r="T23" s="14">
        <f t="shared" si="8"/>
        <v>3</v>
      </c>
      <c r="U23" s="14">
        <f t="shared" si="9"/>
        <v>1</v>
      </c>
      <c r="V23" s="9"/>
      <c r="W23" s="15">
        <f t="shared" si="10"/>
        <v>1</v>
      </c>
      <c r="X23" s="15">
        <f t="shared" si="11"/>
        <v>4</v>
      </c>
      <c r="Y23" s="15">
        <f t="shared" si="12"/>
        <v>5</v>
      </c>
      <c r="Z23" s="15">
        <f t="shared" si="13"/>
        <v>5</v>
      </c>
      <c r="AA23" s="15" t="str">
        <f t="shared" si="14"/>
        <v/>
      </c>
      <c r="AB23" s="15" t="str">
        <f t="shared" si="15"/>
        <v/>
      </c>
      <c r="AC23" s="15" t="str">
        <f t="shared" si="16"/>
        <v/>
      </c>
      <c r="AD23" s="15">
        <f t="shared" si="17"/>
        <v>5</v>
      </c>
      <c r="AE23" s="15" t="str">
        <f t="shared" si="18"/>
        <v/>
      </c>
      <c r="AF23" s="15" t="str">
        <f t="shared" si="19"/>
        <v/>
      </c>
      <c r="AG23" s="15" t="str">
        <f t="shared" si="20"/>
        <v/>
      </c>
      <c r="AH23" s="15" t="str">
        <f t="shared" si="21"/>
        <v/>
      </c>
      <c r="AI23" s="15" t="str">
        <f t="shared" si="22"/>
        <v/>
      </c>
      <c r="AJ23" s="15" t="str">
        <f t="shared" si="23"/>
        <v/>
      </c>
      <c r="AK23" s="15" t="str">
        <f t="shared" si="24"/>
        <v/>
      </c>
      <c r="AL23" s="15" t="str">
        <f t="shared" si="25"/>
        <v/>
      </c>
      <c r="AM23" s="15" t="str">
        <f t="shared" si="26"/>
        <v/>
      </c>
      <c r="AN23" s="15" t="str">
        <f t="shared" si="27"/>
        <v/>
      </c>
      <c r="AO23" s="15" t="str">
        <f t="shared" si="28"/>
        <v/>
      </c>
      <c r="AP23" s="15" t="str">
        <f t="shared" si="29"/>
        <v/>
      </c>
    </row>
    <row r="24" ht="12.75" customHeight="1">
      <c r="A24" s="7" t="s">
        <v>15</v>
      </c>
      <c r="B24" s="7" t="s">
        <v>15</v>
      </c>
      <c r="C24" s="7" t="s">
        <v>15</v>
      </c>
      <c r="D24" s="7" t="s">
        <v>18</v>
      </c>
      <c r="E24" s="8">
        <f t="shared" ref="E24:H24" si="48">IF(A24="&lt; Rp10.000",1,
IF(A24="Rp10.000 – Rp20.000",2,
IF(A24="Rp21.000 – Rp35.000",3,
IF(A24="Rp36.000 – Rp50.000",4,
IF(A24="&gt; Rp50.000",5,"")))))</f>
        <v>3</v>
      </c>
      <c r="F24" s="8">
        <f t="shared" si="48"/>
        <v>3</v>
      </c>
      <c r="G24" s="8">
        <f t="shared" si="48"/>
        <v>3</v>
      </c>
      <c r="H24" s="8">
        <f t="shared" si="48"/>
        <v>4</v>
      </c>
      <c r="I24" s="9"/>
      <c r="J24" s="9"/>
      <c r="K24" s="9"/>
      <c r="L24" s="9"/>
      <c r="M24" s="9"/>
      <c r="N24" s="9"/>
      <c r="O24" s="9"/>
      <c r="P24" s="14">
        <f t="shared" si="4"/>
        <v>5.196152423</v>
      </c>
      <c r="Q24" s="14">
        <f t="shared" si="5"/>
        <v>5</v>
      </c>
      <c r="R24" s="14">
        <f t="shared" si="6"/>
        <v>3.16227766</v>
      </c>
      <c r="S24" s="14">
        <f t="shared" si="7"/>
        <v>4.242640687</v>
      </c>
      <c r="T24" s="14">
        <f t="shared" si="8"/>
        <v>4.582575695</v>
      </c>
      <c r="U24" s="14">
        <f t="shared" si="9"/>
        <v>3</v>
      </c>
      <c r="V24" s="9"/>
      <c r="W24" s="15" t="str">
        <f t="shared" si="10"/>
        <v/>
      </c>
      <c r="X24" s="15" t="str">
        <f t="shared" si="11"/>
        <v/>
      </c>
      <c r="Y24" s="15" t="str">
        <f t="shared" si="12"/>
        <v/>
      </c>
      <c r="Z24" s="15" t="str">
        <f t="shared" si="13"/>
        <v/>
      </c>
      <c r="AA24" s="15" t="str">
        <f t="shared" si="14"/>
        <v/>
      </c>
      <c r="AB24" s="15" t="str">
        <f t="shared" si="15"/>
        <v/>
      </c>
      <c r="AC24" s="15" t="str">
        <f t="shared" si="16"/>
        <v/>
      </c>
      <c r="AD24" s="15" t="str">
        <f t="shared" si="17"/>
        <v/>
      </c>
      <c r="AE24" s="15">
        <f t="shared" si="18"/>
        <v>4</v>
      </c>
      <c r="AF24" s="15">
        <f t="shared" si="19"/>
        <v>2</v>
      </c>
      <c r="AG24" s="15">
        <f t="shared" si="20"/>
        <v>1</v>
      </c>
      <c r="AH24" s="15">
        <f t="shared" si="21"/>
        <v>4</v>
      </c>
      <c r="AI24" s="15" t="str">
        <f t="shared" si="22"/>
        <v/>
      </c>
      <c r="AJ24" s="15" t="str">
        <f t="shared" si="23"/>
        <v/>
      </c>
      <c r="AK24" s="15" t="str">
        <f t="shared" si="24"/>
        <v/>
      </c>
      <c r="AL24" s="15" t="str">
        <f t="shared" si="25"/>
        <v/>
      </c>
      <c r="AM24" s="15" t="str">
        <f t="shared" si="26"/>
        <v/>
      </c>
      <c r="AN24" s="15" t="str">
        <f t="shared" si="27"/>
        <v/>
      </c>
      <c r="AO24" s="15" t="str">
        <f t="shared" si="28"/>
        <v/>
      </c>
      <c r="AP24" s="15" t="str">
        <f t="shared" si="29"/>
        <v/>
      </c>
    </row>
    <row r="25" ht="12.75" customHeight="1">
      <c r="A25" s="7" t="s">
        <v>11</v>
      </c>
      <c r="B25" s="7" t="s">
        <v>11</v>
      </c>
      <c r="C25" s="7" t="s">
        <v>10</v>
      </c>
      <c r="D25" s="7" t="s">
        <v>18</v>
      </c>
      <c r="E25" s="8">
        <f t="shared" ref="E25:H25" si="49">IF(A25="&lt; Rp10.000",1,
IF(A25="Rp10.000 – Rp20.000",2,
IF(A25="Rp21.000 – Rp35.000",3,
IF(A25="Rp36.000 – Rp50.000",4,
IF(A25="&gt; Rp50.000",5,"")))))</f>
        <v>1</v>
      </c>
      <c r="F25" s="8">
        <f t="shared" si="49"/>
        <v>1</v>
      </c>
      <c r="G25" s="8">
        <f t="shared" si="49"/>
        <v>2</v>
      </c>
      <c r="H25" s="8">
        <f t="shared" si="49"/>
        <v>4</v>
      </c>
      <c r="I25" s="9"/>
      <c r="J25" s="9"/>
      <c r="K25" s="9"/>
      <c r="L25" s="9"/>
      <c r="M25" s="9"/>
      <c r="N25" s="9"/>
      <c r="O25" s="9"/>
      <c r="P25" s="14">
        <f t="shared" si="4"/>
        <v>3</v>
      </c>
      <c r="Q25" s="14">
        <f t="shared" si="5"/>
        <v>3</v>
      </c>
      <c r="R25" s="14">
        <f t="shared" si="6"/>
        <v>1.414213562</v>
      </c>
      <c r="S25" s="14">
        <f t="shared" si="7"/>
        <v>4.242640687</v>
      </c>
      <c r="T25" s="14">
        <f t="shared" si="8"/>
        <v>2.645751311</v>
      </c>
      <c r="U25" s="14">
        <f t="shared" si="9"/>
        <v>3</v>
      </c>
      <c r="V25" s="9"/>
      <c r="W25" s="15" t="str">
        <f t="shared" si="10"/>
        <v/>
      </c>
      <c r="X25" s="15" t="str">
        <f t="shared" si="11"/>
        <v/>
      </c>
      <c r="Y25" s="15" t="str">
        <f t="shared" si="12"/>
        <v/>
      </c>
      <c r="Z25" s="15" t="str">
        <f t="shared" si="13"/>
        <v/>
      </c>
      <c r="AA25" s="15" t="str">
        <f t="shared" si="14"/>
        <v/>
      </c>
      <c r="AB25" s="15" t="str">
        <f t="shared" si="15"/>
        <v/>
      </c>
      <c r="AC25" s="15" t="str">
        <f t="shared" si="16"/>
        <v/>
      </c>
      <c r="AD25" s="15" t="str">
        <f t="shared" si="17"/>
        <v/>
      </c>
      <c r="AE25" s="15">
        <f t="shared" si="18"/>
        <v>3</v>
      </c>
      <c r="AF25" s="15">
        <f t="shared" si="19"/>
        <v>3</v>
      </c>
      <c r="AG25" s="15">
        <f t="shared" si="20"/>
        <v>3</v>
      </c>
      <c r="AH25" s="15">
        <f t="shared" si="21"/>
        <v>4</v>
      </c>
      <c r="AI25" s="15" t="str">
        <f t="shared" si="22"/>
        <v/>
      </c>
      <c r="AJ25" s="15" t="str">
        <f t="shared" si="23"/>
        <v/>
      </c>
      <c r="AK25" s="15" t="str">
        <f t="shared" si="24"/>
        <v/>
      </c>
      <c r="AL25" s="15" t="str">
        <f t="shared" si="25"/>
        <v/>
      </c>
      <c r="AM25" s="15" t="str">
        <f t="shared" si="26"/>
        <v/>
      </c>
      <c r="AN25" s="15" t="str">
        <f t="shared" si="27"/>
        <v/>
      </c>
      <c r="AO25" s="15" t="str">
        <f t="shared" si="28"/>
        <v/>
      </c>
      <c r="AP25" s="15" t="str">
        <f t="shared" si="29"/>
        <v/>
      </c>
    </row>
    <row r="26" ht="12.75" customHeight="1">
      <c r="A26" s="7" t="s">
        <v>11</v>
      </c>
      <c r="B26" s="7" t="s">
        <v>10</v>
      </c>
      <c r="C26" s="7" t="s">
        <v>12</v>
      </c>
      <c r="D26" s="7" t="s">
        <v>18</v>
      </c>
      <c r="E26" s="8">
        <f t="shared" ref="E26:H26" si="50">IF(A26="&lt; Rp10.000",1,
IF(A26="Rp10.000 – Rp20.000",2,
IF(A26="Rp21.000 – Rp35.000",3,
IF(A26="Rp36.000 – Rp50.000",4,
IF(A26="&gt; Rp50.000",5,"")))))</f>
        <v>1</v>
      </c>
      <c r="F26" s="8">
        <f t="shared" si="50"/>
        <v>2</v>
      </c>
      <c r="G26" s="8">
        <f t="shared" si="50"/>
        <v>5</v>
      </c>
      <c r="H26" s="8">
        <f t="shared" si="50"/>
        <v>4</v>
      </c>
      <c r="I26" s="9"/>
      <c r="J26" s="9"/>
      <c r="K26" s="9"/>
      <c r="L26" s="9"/>
      <c r="M26" s="9"/>
      <c r="N26" s="9"/>
      <c r="O26" s="9"/>
      <c r="P26" s="14">
        <f t="shared" si="4"/>
        <v>3.741657387</v>
      </c>
      <c r="Q26" s="14">
        <f t="shared" si="5"/>
        <v>3.16227766</v>
      </c>
      <c r="R26" s="14">
        <f t="shared" si="6"/>
        <v>2.645751311</v>
      </c>
      <c r="S26" s="14">
        <f t="shared" si="7"/>
        <v>3.31662479</v>
      </c>
      <c r="T26" s="14">
        <f t="shared" si="8"/>
        <v>3.464101615</v>
      </c>
      <c r="U26" s="14">
        <f t="shared" si="9"/>
        <v>3</v>
      </c>
      <c r="V26" s="9"/>
      <c r="W26" s="15" t="str">
        <f t="shared" si="10"/>
        <v/>
      </c>
      <c r="X26" s="15" t="str">
        <f t="shared" si="11"/>
        <v/>
      </c>
      <c r="Y26" s="15" t="str">
        <f t="shared" si="12"/>
        <v/>
      </c>
      <c r="Z26" s="15" t="str">
        <f t="shared" si="13"/>
        <v/>
      </c>
      <c r="AA26" s="15" t="str">
        <f t="shared" si="14"/>
        <v/>
      </c>
      <c r="AB26" s="15" t="str">
        <f t="shared" si="15"/>
        <v/>
      </c>
      <c r="AC26" s="15" t="str">
        <f t="shared" si="16"/>
        <v/>
      </c>
      <c r="AD26" s="15" t="str">
        <f t="shared" si="17"/>
        <v/>
      </c>
      <c r="AE26" s="15">
        <f t="shared" si="18"/>
        <v>1</v>
      </c>
      <c r="AF26" s="15">
        <f t="shared" si="19"/>
        <v>1</v>
      </c>
      <c r="AG26" s="15">
        <f t="shared" si="20"/>
        <v>2</v>
      </c>
      <c r="AH26" s="15">
        <f t="shared" si="21"/>
        <v>4</v>
      </c>
      <c r="AI26" s="15" t="str">
        <f t="shared" si="22"/>
        <v/>
      </c>
      <c r="AJ26" s="15" t="str">
        <f t="shared" si="23"/>
        <v/>
      </c>
      <c r="AK26" s="15" t="str">
        <f t="shared" si="24"/>
        <v/>
      </c>
      <c r="AL26" s="15" t="str">
        <f t="shared" si="25"/>
        <v/>
      </c>
      <c r="AM26" s="15" t="str">
        <f t="shared" si="26"/>
        <v/>
      </c>
      <c r="AN26" s="15" t="str">
        <f t="shared" si="27"/>
        <v/>
      </c>
      <c r="AO26" s="15" t="str">
        <f t="shared" si="28"/>
        <v/>
      </c>
      <c r="AP26" s="15" t="str">
        <f t="shared" si="29"/>
        <v/>
      </c>
    </row>
    <row r="27" ht="12.75" customHeight="1">
      <c r="A27" s="7" t="s">
        <v>10</v>
      </c>
      <c r="B27" s="7" t="s">
        <v>15</v>
      </c>
      <c r="C27" s="7" t="s">
        <v>15</v>
      </c>
      <c r="D27" s="7" t="s">
        <v>15</v>
      </c>
      <c r="E27" s="8">
        <f t="shared" ref="E27:H27" si="51">IF(A27="&lt; Rp10.000",1,
IF(A27="Rp10.000 – Rp20.000",2,
IF(A27="Rp21.000 – Rp35.000",3,
IF(A27="Rp36.000 – Rp50.000",4,
IF(A27="&gt; Rp50.000",5,"")))))</f>
        <v>2</v>
      </c>
      <c r="F27" s="8">
        <f t="shared" si="51"/>
        <v>3</v>
      </c>
      <c r="G27" s="8">
        <f t="shared" si="51"/>
        <v>3</v>
      </c>
      <c r="H27" s="8">
        <f t="shared" si="51"/>
        <v>3</v>
      </c>
      <c r="I27" s="9"/>
      <c r="J27" s="9"/>
      <c r="K27" s="9"/>
      <c r="L27" s="9"/>
      <c r="M27" s="9"/>
      <c r="N27" s="9"/>
      <c r="O27" s="9"/>
      <c r="P27" s="14">
        <f t="shared" si="4"/>
        <v>1.414213562</v>
      </c>
      <c r="Q27" s="14">
        <f t="shared" si="5"/>
        <v>0</v>
      </c>
      <c r="R27" s="14">
        <f t="shared" si="6"/>
        <v>2.645751311</v>
      </c>
      <c r="S27" s="14">
        <f t="shared" si="7"/>
        <v>5</v>
      </c>
      <c r="T27" s="14">
        <f t="shared" si="8"/>
        <v>1.414213562</v>
      </c>
      <c r="U27" s="14">
        <f t="shared" si="9"/>
        <v>2</v>
      </c>
      <c r="V27" s="9"/>
      <c r="W27" s="15" t="str">
        <f t="shared" si="10"/>
        <v/>
      </c>
      <c r="X27" s="15" t="str">
        <f t="shared" si="11"/>
        <v/>
      </c>
      <c r="Y27" s="15" t="str">
        <f t="shared" si="12"/>
        <v/>
      </c>
      <c r="Z27" s="15" t="str">
        <f t="shared" si="13"/>
        <v/>
      </c>
      <c r="AA27" s="15">
        <f t="shared" si="14"/>
        <v>1</v>
      </c>
      <c r="AB27" s="15">
        <f t="shared" si="15"/>
        <v>2</v>
      </c>
      <c r="AC27" s="15">
        <f t="shared" si="16"/>
        <v>5</v>
      </c>
      <c r="AD27" s="15" t="str">
        <f t="shared" si="17"/>
        <v/>
      </c>
      <c r="AE27" s="15" t="str">
        <f t="shared" si="18"/>
        <v/>
      </c>
      <c r="AF27" s="15" t="str">
        <f t="shared" si="19"/>
        <v/>
      </c>
      <c r="AG27" s="15" t="str">
        <f t="shared" si="20"/>
        <v/>
      </c>
      <c r="AH27" s="15" t="str">
        <f t="shared" si="21"/>
        <v/>
      </c>
      <c r="AI27" s="15" t="str">
        <f t="shared" si="22"/>
        <v/>
      </c>
      <c r="AJ27" s="15" t="str">
        <f t="shared" si="23"/>
        <v/>
      </c>
      <c r="AK27" s="15" t="str">
        <f t="shared" si="24"/>
        <v/>
      </c>
      <c r="AL27" s="15" t="str">
        <f t="shared" si="25"/>
        <v/>
      </c>
      <c r="AM27" s="15" t="str">
        <f t="shared" si="26"/>
        <v/>
      </c>
      <c r="AN27" s="15" t="str">
        <f t="shared" si="27"/>
        <v/>
      </c>
      <c r="AO27" s="15" t="str">
        <f t="shared" si="28"/>
        <v/>
      </c>
      <c r="AP27" s="15" t="str">
        <f t="shared" si="29"/>
        <v/>
      </c>
    </row>
    <row r="28" ht="12.75" customHeight="1">
      <c r="A28" s="7" t="s">
        <v>11</v>
      </c>
      <c r="B28" s="7" t="s">
        <v>10</v>
      </c>
      <c r="C28" s="7" t="s">
        <v>15</v>
      </c>
      <c r="D28" s="7" t="s">
        <v>12</v>
      </c>
      <c r="E28" s="8">
        <f t="shared" ref="E28:H28" si="52">IF(A28="&lt; Rp10.000",1,
IF(A28="Rp10.000 – Rp20.000",2,
IF(A28="Rp21.000 – Rp35.000",3,
IF(A28="Rp36.000 – Rp50.000",4,
IF(A28="&gt; Rp50.000",5,"")))))</f>
        <v>1</v>
      </c>
      <c r="F28" s="8">
        <f t="shared" si="52"/>
        <v>2</v>
      </c>
      <c r="G28" s="8">
        <f t="shared" si="52"/>
        <v>3</v>
      </c>
      <c r="H28" s="8">
        <f t="shared" si="52"/>
        <v>5</v>
      </c>
      <c r="I28" s="9"/>
      <c r="J28" s="9"/>
      <c r="K28" s="9"/>
      <c r="L28" s="9"/>
      <c r="M28" s="9"/>
      <c r="N28" s="9"/>
      <c r="O28" s="9"/>
      <c r="P28" s="14">
        <f t="shared" si="4"/>
        <v>3</v>
      </c>
      <c r="Q28" s="14">
        <f t="shared" si="5"/>
        <v>2.645751311</v>
      </c>
      <c r="R28" s="14">
        <f t="shared" si="6"/>
        <v>0</v>
      </c>
      <c r="S28" s="14">
        <f t="shared" si="7"/>
        <v>3.16227766</v>
      </c>
      <c r="T28" s="14">
        <f t="shared" si="8"/>
        <v>2.236067977</v>
      </c>
      <c r="U28" s="14">
        <f t="shared" si="9"/>
        <v>3</v>
      </c>
      <c r="V28" s="9"/>
      <c r="W28" s="15" t="str">
        <f t="shared" si="10"/>
        <v/>
      </c>
      <c r="X28" s="15" t="str">
        <f t="shared" si="11"/>
        <v/>
      </c>
      <c r="Y28" s="15" t="str">
        <f t="shared" si="12"/>
        <v/>
      </c>
      <c r="Z28" s="15" t="str">
        <f t="shared" si="13"/>
        <v/>
      </c>
      <c r="AA28" s="15" t="str">
        <f t="shared" si="14"/>
        <v/>
      </c>
      <c r="AB28" s="15" t="str">
        <f t="shared" si="15"/>
        <v/>
      </c>
      <c r="AC28" s="15" t="str">
        <f t="shared" si="16"/>
        <v/>
      </c>
      <c r="AD28" s="15" t="str">
        <f t="shared" si="17"/>
        <v/>
      </c>
      <c r="AE28" s="15">
        <f t="shared" si="18"/>
        <v>2</v>
      </c>
      <c r="AF28" s="15">
        <f t="shared" si="19"/>
        <v>3</v>
      </c>
      <c r="AG28" s="15">
        <f t="shared" si="20"/>
        <v>3</v>
      </c>
      <c r="AH28" s="15">
        <f t="shared" si="21"/>
        <v>3</v>
      </c>
      <c r="AI28" s="15" t="str">
        <f t="shared" si="22"/>
        <v/>
      </c>
      <c r="AJ28" s="15" t="str">
        <f t="shared" si="23"/>
        <v/>
      </c>
      <c r="AK28" s="15" t="str">
        <f t="shared" si="24"/>
        <v/>
      </c>
      <c r="AL28" s="15" t="str">
        <f t="shared" si="25"/>
        <v/>
      </c>
      <c r="AM28" s="15" t="str">
        <f t="shared" si="26"/>
        <v/>
      </c>
      <c r="AN28" s="15" t="str">
        <f t="shared" si="27"/>
        <v/>
      </c>
      <c r="AO28" s="15" t="str">
        <f t="shared" si="28"/>
        <v/>
      </c>
      <c r="AP28" s="15" t="str">
        <f t="shared" si="29"/>
        <v/>
      </c>
    </row>
    <row r="29" ht="12.75" customHeight="1">
      <c r="A29" s="7" t="s">
        <v>11</v>
      </c>
      <c r="B29" s="7" t="s">
        <v>10</v>
      </c>
      <c r="C29" s="7" t="s">
        <v>18</v>
      </c>
      <c r="D29" s="7" t="s">
        <v>18</v>
      </c>
      <c r="E29" s="8">
        <f t="shared" ref="E29:H29" si="53">IF(A29="&lt; Rp10.000",1,
IF(A29="Rp10.000 – Rp20.000",2,
IF(A29="Rp21.000 – Rp35.000",3,
IF(A29="Rp36.000 – Rp50.000",4,
IF(A29="&gt; Rp50.000",5,"")))))</f>
        <v>1</v>
      </c>
      <c r="F29" s="8">
        <f t="shared" si="53"/>
        <v>2</v>
      </c>
      <c r="G29" s="8">
        <f t="shared" si="53"/>
        <v>4</v>
      </c>
      <c r="H29" s="8">
        <f t="shared" si="53"/>
        <v>4</v>
      </c>
      <c r="I29" s="9"/>
      <c r="J29" s="9"/>
      <c r="K29" s="9"/>
      <c r="L29" s="9"/>
      <c r="M29" s="9"/>
      <c r="N29" s="9"/>
      <c r="O29" s="9"/>
      <c r="P29" s="14">
        <f t="shared" si="4"/>
        <v>2.236067977</v>
      </c>
      <c r="Q29" s="14">
        <f t="shared" si="5"/>
        <v>2.236067977</v>
      </c>
      <c r="R29" s="14">
        <f t="shared" si="6"/>
        <v>2.449489743</v>
      </c>
      <c r="S29" s="14">
        <f t="shared" si="7"/>
        <v>4.472135955</v>
      </c>
      <c r="T29" s="14">
        <f t="shared" si="8"/>
        <v>3</v>
      </c>
      <c r="U29" s="14">
        <f t="shared" si="9"/>
        <v>1</v>
      </c>
      <c r="V29" s="9"/>
      <c r="W29" s="15">
        <f t="shared" si="10"/>
        <v>1</v>
      </c>
      <c r="X29" s="15">
        <f t="shared" si="11"/>
        <v>2</v>
      </c>
      <c r="Y29" s="15">
        <f t="shared" si="12"/>
        <v>3</v>
      </c>
      <c r="Z29" s="15">
        <f t="shared" si="13"/>
        <v>5</v>
      </c>
      <c r="AA29" s="15" t="str">
        <f t="shared" si="14"/>
        <v/>
      </c>
      <c r="AB29" s="15" t="str">
        <f t="shared" si="15"/>
        <v/>
      </c>
      <c r="AC29" s="15" t="str">
        <f t="shared" si="16"/>
        <v/>
      </c>
      <c r="AD29" s="15">
        <f t="shared" si="17"/>
        <v>5</v>
      </c>
      <c r="AE29" s="15" t="str">
        <f t="shared" si="18"/>
        <v/>
      </c>
      <c r="AF29" s="15" t="str">
        <f t="shared" si="19"/>
        <v/>
      </c>
      <c r="AG29" s="15" t="str">
        <f t="shared" si="20"/>
        <v/>
      </c>
      <c r="AH29" s="15" t="str">
        <f t="shared" si="21"/>
        <v/>
      </c>
      <c r="AI29" s="15" t="str">
        <f t="shared" si="22"/>
        <v/>
      </c>
      <c r="AJ29" s="15" t="str">
        <f t="shared" si="23"/>
        <v/>
      </c>
      <c r="AK29" s="15" t="str">
        <f t="shared" si="24"/>
        <v/>
      </c>
      <c r="AL29" s="15" t="str">
        <f t="shared" si="25"/>
        <v/>
      </c>
      <c r="AM29" s="15" t="str">
        <f t="shared" si="26"/>
        <v/>
      </c>
      <c r="AN29" s="15" t="str">
        <f t="shared" si="27"/>
        <v/>
      </c>
      <c r="AO29" s="15" t="str">
        <f t="shared" si="28"/>
        <v/>
      </c>
      <c r="AP29" s="15" t="str">
        <f t="shared" si="29"/>
        <v/>
      </c>
    </row>
    <row r="30" ht="12.75" customHeight="1">
      <c r="A30" s="7" t="s">
        <v>11</v>
      </c>
      <c r="B30" s="7" t="s">
        <v>10</v>
      </c>
      <c r="C30" s="7" t="s">
        <v>10</v>
      </c>
      <c r="D30" s="7" t="s">
        <v>12</v>
      </c>
      <c r="E30" s="8">
        <f t="shared" ref="E30:H30" si="54">IF(A30="&lt; Rp10.000",1,
IF(A30="Rp10.000 – Rp20.000",2,
IF(A30="Rp21.000 – Rp35.000",3,
IF(A30="Rp36.000 – Rp50.000",4,
IF(A30="&gt; Rp50.000",5,"")))))</f>
        <v>1</v>
      </c>
      <c r="F30" s="8">
        <f t="shared" si="54"/>
        <v>2</v>
      </c>
      <c r="G30" s="8">
        <f t="shared" si="54"/>
        <v>2</v>
      </c>
      <c r="H30" s="8">
        <f t="shared" si="54"/>
        <v>5</v>
      </c>
      <c r="I30" s="9"/>
      <c r="J30" s="9"/>
      <c r="K30" s="9"/>
      <c r="L30" s="9"/>
      <c r="M30" s="9"/>
      <c r="N30" s="9"/>
      <c r="O30" s="9"/>
      <c r="P30" s="14">
        <f t="shared" si="4"/>
        <v>1.732050808</v>
      </c>
      <c r="Q30" s="14">
        <f t="shared" si="5"/>
        <v>1</v>
      </c>
      <c r="R30" s="14">
        <f t="shared" si="6"/>
        <v>2</v>
      </c>
      <c r="S30" s="14">
        <f t="shared" si="7"/>
        <v>4.242640687</v>
      </c>
      <c r="T30" s="14">
        <f t="shared" si="8"/>
        <v>1.732050808</v>
      </c>
      <c r="U30" s="14">
        <f t="shared" si="9"/>
        <v>2</v>
      </c>
      <c r="V30" s="9"/>
      <c r="W30" s="15" t="str">
        <f t="shared" si="10"/>
        <v/>
      </c>
      <c r="X30" s="15" t="str">
        <f t="shared" si="11"/>
        <v/>
      </c>
      <c r="Y30" s="15" t="str">
        <f t="shared" si="12"/>
        <v/>
      </c>
      <c r="Z30" s="15" t="str">
        <f t="shared" si="13"/>
        <v/>
      </c>
      <c r="AA30" s="15">
        <f t="shared" si="14"/>
        <v>1</v>
      </c>
      <c r="AB30" s="15">
        <f t="shared" si="15"/>
        <v>2</v>
      </c>
      <c r="AC30" s="15">
        <f t="shared" si="16"/>
        <v>4</v>
      </c>
      <c r="AD30" s="15" t="str">
        <f t="shared" si="17"/>
        <v/>
      </c>
      <c r="AE30" s="15" t="str">
        <f t="shared" si="18"/>
        <v/>
      </c>
      <c r="AF30" s="15" t="str">
        <f t="shared" si="19"/>
        <v/>
      </c>
      <c r="AG30" s="15" t="str">
        <f t="shared" si="20"/>
        <v/>
      </c>
      <c r="AH30" s="15" t="str">
        <f t="shared" si="21"/>
        <v/>
      </c>
      <c r="AI30" s="15" t="str">
        <f t="shared" si="22"/>
        <v/>
      </c>
      <c r="AJ30" s="15" t="str">
        <f t="shared" si="23"/>
        <v/>
      </c>
      <c r="AK30" s="15" t="str">
        <f t="shared" si="24"/>
        <v/>
      </c>
      <c r="AL30" s="15" t="str">
        <f t="shared" si="25"/>
        <v/>
      </c>
      <c r="AM30" s="15" t="str">
        <f t="shared" si="26"/>
        <v/>
      </c>
      <c r="AN30" s="15" t="str">
        <f t="shared" si="27"/>
        <v/>
      </c>
      <c r="AO30" s="15" t="str">
        <f t="shared" si="28"/>
        <v/>
      </c>
      <c r="AP30" s="15" t="str">
        <f t="shared" si="29"/>
        <v/>
      </c>
    </row>
    <row r="31" ht="12.75" customHeight="1">
      <c r="A31" s="7" t="s">
        <v>11</v>
      </c>
      <c r="B31" s="7" t="s">
        <v>15</v>
      </c>
      <c r="C31" s="7" t="s">
        <v>12</v>
      </c>
      <c r="D31" s="7" t="s">
        <v>10</v>
      </c>
      <c r="E31" s="8">
        <f t="shared" ref="E31:H31" si="55">IF(A31="&lt; Rp10.000",1,
IF(A31="Rp10.000 – Rp20.000",2,
IF(A31="Rp21.000 – Rp35.000",3,
IF(A31="Rp36.000 – Rp50.000",4,
IF(A31="&gt; Rp50.000",5,"")))))</f>
        <v>1</v>
      </c>
      <c r="F31" s="8">
        <f t="shared" si="55"/>
        <v>3</v>
      </c>
      <c r="G31" s="8">
        <f t="shared" si="55"/>
        <v>5</v>
      </c>
      <c r="H31" s="8">
        <f t="shared" si="55"/>
        <v>2</v>
      </c>
      <c r="I31" s="9"/>
      <c r="J31" s="9"/>
      <c r="K31" s="9"/>
      <c r="L31" s="9"/>
      <c r="M31" s="9"/>
      <c r="N31" s="9"/>
      <c r="O31" s="9"/>
      <c r="P31" s="14">
        <f t="shared" si="4"/>
        <v>3.16227766</v>
      </c>
      <c r="Q31" s="14">
        <f t="shared" si="5"/>
        <v>3.16227766</v>
      </c>
      <c r="R31" s="14">
        <f t="shared" si="6"/>
        <v>2.645751311</v>
      </c>
      <c r="S31" s="14">
        <f t="shared" si="7"/>
        <v>4.123105626</v>
      </c>
      <c r="T31" s="14">
        <f t="shared" si="8"/>
        <v>3.741657387</v>
      </c>
      <c r="U31" s="14">
        <f t="shared" si="9"/>
        <v>3</v>
      </c>
      <c r="V31" s="9"/>
      <c r="W31" s="15" t="str">
        <f t="shared" si="10"/>
        <v/>
      </c>
      <c r="X31" s="15" t="str">
        <f t="shared" si="11"/>
        <v/>
      </c>
      <c r="Y31" s="15" t="str">
        <f t="shared" si="12"/>
        <v/>
      </c>
      <c r="Z31" s="15" t="str">
        <f t="shared" si="13"/>
        <v/>
      </c>
      <c r="AA31" s="15" t="str">
        <f t="shared" si="14"/>
        <v/>
      </c>
      <c r="AB31" s="15" t="str">
        <f t="shared" si="15"/>
        <v/>
      </c>
      <c r="AC31" s="15" t="str">
        <f t="shared" si="16"/>
        <v/>
      </c>
      <c r="AD31" s="15" t="str">
        <f t="shared" si="17"/>
        <v/>
      </c>
      <c r="AE31" s="15">
        <f t="shared" si="18"/>
        <v>1</v>
      </c>
      <c r="AF31" s="15">
        <f t="shared" si="19"/>
        <v>2</v>
      </c>
      <c r="AG31" s="15">
        <f t="shared" si="20"/>
        <v>2</v>
      </c>
      <c r="AH31" s="15">
        <f t="shared" si="21"/>
        <v>5</v>
      </c>
      <c r="AI31" s="15" t="str">
        <f t="shared" si="22"/>
        <v/>
      </c>
      <c r="AJ31" s="15" t="str">
        <f t="shared" si="23"/>
        <v/>
      </c>
      <c r="AK31" s="15" t="str">
        <f t="shared" si="24"/>
        <v/>
      </c>
      <c r="AL31" s="15" t="str">
        <f t="shared" si="25"/>
        <v/>
      </c>
      <c r="AM31" s="15" t="str">
        <f t="shared" si="26"/>
        <v/>
      </c>
      <c r="AN31" s="15" t="str">
        <f t="shared" si="27"/>
        <v/>
      </c>
      <c r="AO31" s="15" t="str">
        <f t="shared" si="28"/>
        <v/>
      </c>
      <c r="AP31" s="15" t="str">
        <f t="shared" si="29"/>
        <v/>
      </c>
    </row>
    <row r="32" ht="12.75" customHeight="1">
      <c r="A32" s="7" t="s">
        <v>18</v>
      </c>
      <c r="B32" s="7" t="s">
        <v>18</v>
      </c>
      <c r="C32" s="7" t="s">
        <v>18</v>
      </c>
      <c r="D32" s="7" t="s">
        <v>18</v>
      </c>
      <c r="E32" s="8">
        <f t="shared" ref="E32:H32" si="56">IF(A32="&lt; Rp10.000",1,
IF(A32="Rp10.000 – Rp20.000",2,
IF(A32="Rp21.000 – Rp35.000",3,
IF(A32="Rp36.000 – Rp50.000",4,
IF(A32="&gt; Rp50.000",5,"")))))</f>
        <v>4</v>
      </c>
      <c r="F32" s="8">
        <f t="shared" si="56"/>
        <v>4</v>
      </c>
      <c r="G32" s="8">
        <f t="shared" si="56"/>
        <v>4</v>
      </c>
      <c r="H32" s="8">
        <f t="shared" si="56"/>
        <v>4</v>
      </c>
      <c r="I32" s="9"/>
      <c r="J32" s="9"/>
      <c r="K32" s="9"/>
      <c r="L32" s="9"/>
      <c r="M32" s="9"/>
      <c r="N32" s="9"/>
      <c r="O32" s="9"/>
      <c r="P32" s="14">
        <f t="shared" si="4"/>
        <v>3</v>
      </c>
      <c r="Q32" s="14">
        <f t="shared" si="5"/>
        <v>2.236067977</v>
      </c>
      <c r="R32" s="14">
        <f t="shared" si="6"/>
        <v>2.449489743</v>
      </c>
      <c r="S32" s="14">
        <f t="shared" si="7"/>
        <v>4.242640687</v>
      </c>
      <c r="T32" s="14">
        <f t="shared" si="8"/>
        <v>1.732050808</v>
      </c>
      <c r="U32" s="14">
        <f t="shared" si="9"/>
        <v>5</v>
      </c>
      <c r="V32" s="9"/>
      <c r="W32" s="15" t="str">
        <f t="shared" si="10"/>
        <v/>
      </c>
      <c r="X32" s="15" t="str">
        <f t="shared" si="11"/>
        <v/>
      </c>
      <c r="Y32" s="15" t="str">
        <f t="shared" si="12"/>
        <v/>
      </c>
      <c r="Z32" s="15" t="str">
        <f t="shared" si="13"/>
        <v/>
      </c>
      <c r="AA32" s="15" t="str">
        <f t="shared" si="14"/>
        <v/>
      </c>
      <c r="AB32" s="15" t="str">
        <f t="shared" si="15"/>
        <v/>
      </c>
      <c r="AC32" s="15" t="str">
        <f t="shared" si="16"/>
        <v/>
      </c>
      <c r="AD32" s="15" t="str">
        <f t="shared" si="17"/>
        <v/>
      </c>
      <c r="AE32" s="15" t="str">
        <f t="shared" si="18"/>
        <v/>
      </c>
      <c r="AF32" s="15" t="str">
        <f t="shared" si="19"/>
        <v/>
      </c>
      <c r="AG32" s="15" t="str">
        <f t="shared" si="20"/>
        <v/>
      </c>
      <c r="AH32" s="15" t="str">
        <f t="shared" si="21"/>
        <v/>
      </c>
      <c r="AI32" s="15" t="str">
        <f t="shared" si="22"/>
        <v/>
      </c>
      <c r="AJ32" s="15" t="str">
        <f t="shared" si="23"/>
        <v/>
      </c>
      <c r="AK32" s="15" t="str">
        <f t="shared" si="24"/>
        <v/>
      </c>
      <c r="AL32" s="15" t="str">
        <f t="shared" si="25"/>
        <v/>
      </c>
      <c r="AM32" s="15">
        <f t="shared" si="26"/>
        <v>1</v>
      </c>
      <c r="AN32" s="15">
        <f t="shared" si="27"/>
        <v>3</v>
      </c>
      <c r="AO32" s="15">
        <f t="shared" si="28"/>
        <v>5</v>
      </c>
      <c r="AP32" s="15">
        <f t="shared" si="29"/>
        <v>2</v>
      </c>
    </row>
    <row r="33" ht="12.75" customHeight="1">
      <c r="A33" s="7" t="s">
        <v>11</v>
      </c>
      <c r="B33" s="7" t="s">
        <v>10</v>
      </c>
      <c r="C33" s="7" t="s">
        <v>18</v>
      </c>
      <c r="D33" s="7" t="s">
        <v>15</v>
      </c>
      <c r="E33" s="8">
        <f t="shared" ref="E33:H33" si="57">IF(A33="&lt; Rp10.000",1,
IF(A33="Rp10.000 – Rp20.000",2,
IF(A33="Rp21.000 – Rp35.000",3,
IF(A33="Rp36.000 – Rp50.000",4,
IF(A33="&gt; Rp50.000",5,"")))))</f>
        <v>1</v>
      </c>
      <c r="F33" s="8">
        <f t="shared" si="57"/>
        <v>2</v>
      </c>
      <c r="G33" s="8">
        <f t="shared" si="57"/>
        <v>4</v>
      </c>
      <c r="H33" s="8">
        <f t="shared" si="57"/>
        <v>3</v>
      </c>
      <c r="I33" s="9"/>
      <c r="J33" s="9"/>
      <c r="K33" s="9"/>
      <c r="L33" s="9"/>
      <c r="M33" s="9"/>
      <c r="N33" s="9"/>
      <c r="O33" s="9"/>
      <c r="P33" s="14">
        <f t="shared" si="4"/>
        <v>3.464101615</v>
      </c>
      <c r="Q33" s="14">
        <f t="shared" si="5"/>
        <v>3.741657387</v>
      </c>
      <c r="R33" s="14">
        <f t="shared" si="6"/>
        <v>2.645751311</v>
      </c>
      <c r="S33" s="14">
        <f t="shared" si="7"/>
        <v>5.567764363</v>
      </c>
      <c r="T33" s="14">
        <f t="shared" si="8"/>
        <v>3.16227766</v>
      </c>
      <c r="U33" s="14">
        <f t="shared" si="9"/>
        <v>3</v>
      </c>
      <c r="V33" s="9"/>
      <c r="W33" s="15" t="str">
        <f t="shared" si="10"/>
        <v/>
      </c>
      <c r="X33" s="15" t="str">
        <f t="shared" si="11"/>
        <v/>
      </c>
      <c r="Y33" s="15" t="str">
        <f t="shared" si="12"/>
        <v/>
      </c>
      <c r="Z33" s="15" t="str">
        <f t="shared" si="13"/>
        <v/>
      </c>
      <c r="AA33" s="15" t="str">
        <f t="shared" si="14"/>
        <v/>
      </c>
      <c r="AB33" s="15" t="str">
        <f t="shared" si="15"/>
        <v/>
      </c>
      <c r="AC33" s="15" t="str">
        <f t="shared" si="16"/>
        <v/>
      </c>
      <c r="AD33" s="15" t="str">
        <f t="shared" si="17"/>
        <v/>
      </c>
      <c r="AE33" s="15">
        <f t="shared" si="18"/>
        <v>4</v>
      </c>
      <c r="AF33" s="15">
        <f t="shared" si="19"/>
        <v>4</v>
      </c>
      <c r="AG33" s="15">
        <f t="shared" si="20"/>
        <v>4</v>
      </c>
      <c r="AH33" s="15">
        <f t="shared" si="21"/>
        <v>4</v>
      </c>
      <c r="AI33" s="15" t="str">
        <f t="shared" si="22"/>
        <v/>
      </c>
      <c r="AJ33" s="15" t="str">
        <f t="shared" si="23"/>
        <v/>
      </c>
      <c r="AK33" s="15" t="str">
        <f t="shared" si="24"/>
        <v/>
      </c>
      <c r="AL33" s="15" t="str">
        <f t="shared" si="25"/>
        <v/>
      </c>
      <c r="AM33" s="15" t="str">
        <f t="shared" si="26"/>
        <v/>
      </c>
      <c r="AN33" s="15" t="str">
        <f t="shared" si="27"/>
        <v/>
      </c>
      <c r="AO33" s="15" t="str">
        <f t="shared" si="28"/>
        <v/>
      </c>
      <c r="AP33" s="15" t="str">
        <f t="shared" si="29"/>
        <v/>
      </c>
    </row>
    <row r="34" ht="12.75" customHeight="1">
      <c r="A34" s="7" t="s">
        <v>11</v>
      </c>
      <c r="B34" s="7" t="s">
        <v>18</v>
      </c>
      <c r="C34" s="7" t="s">
        <v>12</v>
      </c>
      <c r="D34" s="7" t="s">
        <v>10</v>
      </c>
      <c r="E34" s="8">
        <f t="shared" ref="E34:H34" si="58">IF(A34="&lt; Rp10.000",1,
IF(A34="Rp10.000 – Rp20.000",2,
IF(A34="Rp21.000 – Rp35.000",3,
IF(A34="Rp36.000 – Rp50.000",4,
IF(A34="&gt; Rp50.000",5,"")))))</f>
        <v>1</v>
      </c>
      <c r="F34" s="8">
        <f t="shared" si="58"/>
        <v>4</v>
      </c>
      <c r="G34" s="8">
        <f t="shared" si="58"/>
        <v>5</v>
      </c>
      <c r="H34" s="8">
        <f t="shared" si="58"/>
        <v>2</v>
      </c>
      <c r="I34" s="9"/>
      <c r="J34" s="9"/>
      <c r="K34" s="9"/>
      <c r="L34" s="9"/>
      <c r="M34" s="9"/>
      <c r="N34" s="9"/>
      <c r="O34" s="9"/>
      <c r="P34" s="14">
        <f t="shared" si="4"/>
        <v>2.449489743</v>
      </c>
      <c r="Q34" s="14">
        <f t="shared" si="5"/>
        <v>1.414213562</v>
      </c>
      <c r="R34" s="14">
        <f t="shared" si="6"/>
        <v>1.732050808</v>
      </c>
      <c r="S34" s="14">
        <f t="shared" si="7"/>
        <v>3.605551275</v>
      </c>
      <c r="T34" s="14">
        <f t="shared" si="8"/>
        <v>1.414213562</v>
      </c>
      <c r="U34" s="14">
        <f t="shared" si="9"/>
        <v>2</v>
      </c>
      <c r="V34" s="9"/>
      <c r="W34" s="15" t="str">
        <f t="shared" si="10"/>
        <v/>
      </c>
      <c r="X34" s="15" t="str">
        <f t="shared" si="11"/>
        <v/>
      </c>
      <c r="Y34" s="15" t="str">
        <f t="shared" si="12"/>
        <v/>
      </c>
      <c r="Z34" s="15" t="str">
        <f t="shared" si="13"/>
        <v/>
      </c>
      <c r="AA34" s="15">
        <f t="shared" si="14"/>
        <v>1</v>
      </c>
      <c r="AB34" s="15">
        <f t="shared" si="15"/>
        <v>2</v>
      </c>
      <c r="AC34" s="15">
        <f t="shared" si="16"/>
        <v>4</v>
      </c>
      <c r="AD34" s="15" t="str">
        <f t="shared" si="17"/>
        <v/>
      </c>
      <c r="AE34" s="15" t="str">
        <f t="shared" si="18"/>
        <v/>
      </c>
      <c r="AF34" s="15" t="str">
        <f t="shared" si="19"/>
        <v/>
      </c>
      <c r="AG34" s="15" t="str">
        <f t="shared" si="20"/>
        <v/>
      </c>
      <c r="AH34" s="15" t="str">
        <f t="shared" si="21"/>
        <v/>
      </c>
      <c r="AI34" s="15" t="str">
        <f t="shared" si="22"/>
        <v/>
      </c>
      <c r="AJ34" s="15" t="str">
        <f t="shared" si="23"/>
        <v/>
      </c>
      <c r="AK34" s="15" t="str">
        <f t="shared" si="24"/>
        <v/>
      </c>
      <c r="AL34" s="15" t="str">
        <f t="shared" si="25"/>
        <v/>
      </c>
      <c r="AM34" s="15" t="str">
        <f t="shared" si="26"/>
        <v/>
      </c>
      <c r="AN34" s="15" t="str">
        <f t="shared" si="27"/>
        <v/>
      </c>
      <c r="AO34" s="15" t="str">
        <f t="shared" si="28"/>
        <v/>
      </c>
      <c r="AP34" s="15" t="str">
        <f t="shared" si="29"/>
        <v/>
      </c>
    </row>
    <row r="35" ht="12.75" customHeight="1">
      <c r="A35" s="7" t="s">
        <v>15</v>
      </c>
      <c r="B35" s="7" t="s">
        <v>10</v>
      </c>
      <c r="C35" s="7" t="s">
        <v>15</v>
      </c>
      <c r="D35" s="7" t="s">
        <v>10</v>
      </c>
      <c r="E35" s="8">
        <f t="shared" ref="E35:H35" si="59">IF(A35="&lt; Rp10.000",1,
IF(A35="Rp10.000 – Rp20.000",2,
IF(A35="Rp21.000 – Rp35.000",3,
IF(A35="Rp36.000 – Rp50.000",4,
IF(A35="&gt; Rp50.000",5,"")))))</f>
        <v>3</v>
      </c>
      <c r="F35" s="8">
        <f t="shared" si="59"/>
        <v>2</v>
      </c>
      <c r="G35" s="8">
        <f t="shared" si="59"/>
        <v>3</v>
      </c>
      <c r="H35" s="8">
        <f t="shared" si="59"/>
        <v>2</v>
      </c>
      <c r="I35" s="9"/>
      <c r="J35" s="9"/>
      <c r="K35" s="9"/>
      <c r="L35" s="9"/>
      <c r="M35" s="9"/>
      <c r="N35" s="9"/>
      <c r="O35" s="9"/>
      <c r="P35" s="14">
        <f t="shared" si="4"/>
        <v>3.16227766</v>
      </c>
      <c r="Q35" s="14">
        <f t="shared" si="5"/>
        <v>2.828427125</v>
      </c>
      <c r="R35" s="14">
        <f t="shared" si="6"/>
        <v>2.645751311</v>
      </c>
      <c r="S35" s="14">
        <f t="shared" si="7"/>
        <v>4.582575695</v>
      </c>
      <c r="T35" s="14">
        <f t="shared" si="8"/>
        <v>2.449489743</v>
      </c>
      <c r="U35" s="14">
        <f t="shared" si="9"/>
        <v>5</v>
      </c>
      <c r="V35" s="9"/>
      <c r="W35" s="15" t="str">
        <f t="shared" si="10"/>
        <v/>
      </c>
      <c r="X35" s="15" t="str">
        <f t="shared" si="11"/>
        <v/>
      </c>
      <c r="Y35" s="15" t="str">
        <f t="shared" si="12"/>
        <v/>
      </c>
      <c r="Z35" s="15" t="str">
        <f t="shared" si="13"/>
        <v/>
      </c>
      <c r="AA35" s="15" t="str">
        <f t="shared" si="14"/>
        <v/>
      </c>
      <c r="AB35" s="15" t="str">
        <f t="shared" si="15"/>
        <v/>
      </c>
      <c r="AC35" s="15" t="str">
        <f t="shared" si="16"/>
        <v/>
      </c>
      <c r="AD35" s="15" t="str">
        <f t="shared" si="17"/>
        <v/>
      </c>
      <c r="AE35" s="15" t="str">
        <f t="shared" si="18"/>
        <v/>
      </c>
      <c r="AF35" s="15" t="str">
        <f t="shared" si="19"/>
        <v/>
      </c>
      <c r="AG35" s="15" t="str">
        <f t="shared" si="20"/>
        <v/>
      </c>
      <c r="AH35" s="15" t="str">
        <f t="shared" si="21"/>
        <v/>
      </c>
      <c r="AI35" s="15" t="str">
        <f t="shared" si="22"/>
        <v/>
      </c>
      <c r="AJ35" s="15" t="str">
        <f t="shared" si="23"/>
        <v/>
      </c>
      <c r="AK35" s="15" t="str">
        <f t="shared" si="24"/>
        <v/>
      </c>
      <c r="AL35" s="15" t="str">
        <f t="shared" si="25"/>
        <v/>
      </c>
      <c r="AM35" s="15">
        <f t="shared" si="26"/>
        <v>1</v>
      </c>
      <c r="AN35" s="15">
        <f t="shared" si="27"/>
        <v>4</v>
      </c>
      <c r="AO35" s="15">
        <f t="shared" si="28"/>
        <v>5</v>
      </c>
      <c r="AP35" s="15">
        <f t="shared" si="29"/>
        <v>2</v>
      </c>
    </row>
    <row r="36" ht="12.75" customHeight="1">
      <c r="A36" s="7" t="s">
        <v>11</v>
      </c>
      <c r="B36" s="7" t="s">
        <v>10</v>
      </c>
      <c r="C36" s="7" t="s">
        <v>11</v>
      </c>
      <c r="D36" s="7" t="s">
        <v>11</v>
      </c>
      <c r="E36" s="8">
        <f t="shared" ref="E36:H36" si="60">IF(A36="&lt; Rp10.000",1,
IF(A36="Rp10.000 – Rp20.000",2,
IF(A36="Rp21.000 – Rp35.000",3,
IF(A36="Rp36.000 – Rp50.000",4,
IF(A36="&gt; Rp50.000",5,"")))))</f>
        <v>1</v>
      </c>
      <c r="F36" s="8">
        <f t="shared" si="60"/>
        <v>2</v>
      </c>
      <c r="G36" s="8">
        <f t="shared" si="60"/>
        <v>1</v>
      </c>
      <c r="H36" s="8">
        <f t="shared" si="60"/>
        <v>1</v>
      </c>
      <c r="I36" s="9"/>
      <c r="J36" s="9"/>
      <c r="K36" s="9"/>
      <c r="L36" s="9"/>
      <c r="M36" s="9"/>
      <c r="N36" s="9"/>
      <c r="O36" s="9"/>
      <c r="P36" s="14">
        <f t="shared" si="4"/>
        <v>4.242640687</v>
      </c>
      <c r="Q36" s="14">
        <f t="shared" si="5"/>
        <v>3.464101615</v>
      </c>
      <c r="R36" s="14">
        <f t="shared" si="6"/>
        <v>1.732050808</v>
      </c>
      <c r="S36" s="14">
        <f t="shared" si="7"/>
        <v>3</v>
      </c>
      <c r="T36" s="14">
        <f t="shared" si="8"/>
        <v>2.449489743</v>
      </c>
      <c r="U36" s="14">
        <f t="shared" si="9"/>
        <v>3</v>
      </c>
      <c r="V36" s="9"/>
      <c r="W36" s="15" t="str">
        <f t="shared" si="10"/>
        <v/>
      </c>
      <c r="X36" s="15" t="str">
        <f t="shared" si="11"/>
        <v/>
      </c>
      <c r="Y36" s="15" t="str">
        <f t="shared" si="12"/>
        <v/>
      </c>
      <c r="Z36" s="15" t="str">
        <f t="shared" si="13"/>
        <v/>
      </c>
      <c r="AA36" s="15" t="str">
        <f t="shared" si="14"/>
        <v/>
      </c>
      <c r="AB36" s="15" t="str">
        <f t="shared" si="15"/>
        <v/>
      </c>
      <c r="AC36" s="15" t="str">
        <f t="shared" si="16"/>
        <v/>
      </c>
      <c r="AD36" s="15" t="str">
        <f t="shared" si="17"/>
        <v/>
      </c>
      <c r="AE36" s="15">
        <f t="shared" si="18"/>
        <v>3</v>
      </c>
      <c r="AF36" s="15">
        <f t="shared" si="19"/>
        <v>2</v>
      </c>
      <c r="AG36" s="15">
        <f t="shared" si="20"/>
        <v>3</v>
      </c>
      <c r="AH36" s="15">
        <f t="shared" si="21"/>
        <v>2</v>
      </c>
      <c r="AI36" s="15" t="str">
        <f t="shared" si="22"/>
        <v/>
      </c>
      <c r="AJ36" s="15" t="str">
        <f t="shared" si="23"/>
        <v/>
      </c>
      <c r="AK36" s="15" t="str">
        <f t="shared" si="24"/>
        <v/>
      </c>
      <c r="AL36" s="15" t="str">
        <f t="shared" si="25"/>
        <v/>
      </c>
      <c r="AM36" s="15" t="str">
        <f t="shared" si="26"/>
        <v/>
      </c>
      <c r="AN36" s="15" t="str">
        <f t="shared" si="27"/>
        <v/>
      </c>
      <c r="AO36" s="15" t="str">
        <f t="shared" si="28"/>
        <v/>
      </c>
      <c r="AP36" s="15" t="str">
        <f t="shared" si="29"/>
        <v/>
      </c>
    </row>
    <row r="37" ht="12.75" customHeight="1">
      <c r="A37" s="7" t="s">
        <v>18</v>
      </c>
      <c r="B37" s="7" t="s">
        <v>10</v>
      </c>
      <c r="C37" s="7" t="s">
        <v>12</v>
      </c>
      <c r="D37" s="7" t="s">
        <v>12</v>
      </c>
      <c r="E37" s="8">
        <f t="shared" ref="E37:H37" si="61">IF(A37="&lt; Rp10.000",1,
IF(A37="Rp10.000 – Rp20.000",2,
IF(A37="Rp21.000 – Rp35.000",3,
IF(A37="Rp36.000 – Rp50.000",4,
IF(A37="&gt; Rp50.000",5,"")))))</f>
        <v>4</v>
      </c>
      <c r="F37" s="8">
        <f t="shared" si="61"/>
        <v>2</v>
      </c>
      <c r="G37" s="8">
        <f t="shared" si="61"/>
        <v>5</v>
      </c>
      <c r="H37" s="8">
        <f t="shared" si="61"/>
        <v>5</v>
      </c>
      <c r="I37" s="9"/>
      <c r="J37" s="9"/>
      <c r="K37" s="9"/>
      <c r="L37" s="9"/>
      <c r="M37" s="9"/>
      <c r="N37" s="9"/>
      <c r="O37" s="9"/>
      <c r="P37" s="14">
        <f t="shared" si="4"/>
        <v>5.744562647</v>
      </c>
      <c r="Q37" s="14">
        <f t="shared" si="5"/>
        <v>5</v>
      </c>
      <c r="R37" s="14">
        <f t="shared" si="6"/>
        <v>3.16227766</v>
      </c>
      <c r="S37" s="14">
        <f t="shared" si="7"/>
        <v>0</v>
      </c>
      <c r="T37" s="14">
        <f t="shared" si="8"/>
        <v>4.582575695</v>
      </c>
      <c r="U37" s="14">
        <f t="shared" si="9"/>
        <v>4</v>
      </c>
      <c r="V37" s="9"/>
      <c r="W37" s="15" t="str">
        <f t="shared" si="10"/>
        <v/>
      </c>
      <c r="X37" s="15" t="str">
        <f t="shared" si="11"/>
        <v/>
      </c>
      <c r="Y37" s="15" t="str">
        <f t="shared" si="12"/>
        <v/>
      </c>
      <c r="Z37" s="15" t="str">
        <f t="shared" si="13"/>
        <v/>
      </c>
      <c r="AA37" s="15" t="str">
        <f t="shared" si="14"/>
        <v/>
      </c>
      <c r="AB37" s="15" t="str">
        <f t="shared" si="15"/>
        <v/>
      </c>
      <c r="AC37" s="15" t="str">
        <f t="shared" si="16"/>
        <v/>
      </c>
      <c r="AD37" s="15" t="str">
        <f t="shared" si="17"/>
        <v/>
      </c>
      <c r="AE37" s="15" t="str">
        <f t="shared" si="18"/>
        <v/>
      </c>
      <c r="AF37" s="15" t="str">
        <f t="shared" si="19"/>
        <v/>
      </c>
      <c r="AG37" s="15" t="str">
        <f t="shared" si="20"/>
        <v/>
      </c>
      <c r="AH37" s="15" t="str">
        <f t="shared" si="21"/>
        <v/>
      </c>
      <c r="AI37" s="15">
        <f t="shared" si="22"/>
        <v>1</v>
      </c>
      <c r="AJ37" s="15">
        <f t="shared" si="23"/>
        <v>2</v>
      </c>
      <c r="AK37" s="15">
        <f t="shared" si="24"/>
        <v>1</v>
      </c>
      <c r="AL37" s="15">
        <f t="shared" si="25"/>
        <v>1</v>
      </c>
      <c r="AM37" s="15" t="str">
        <f t="shared" si="26"/>
        <v/>
      </c>
      <c r="AN37" s="15" t="str">
        <f t="shared" si="27"/>
        <v/>
      </c>
      <c r="AO37" s="15" t="str">
        <f t="shared" si="28"/>
        <v/>
      </c>
      <c r="AP37" s="15" t="str">
        <f t="shared" si="29"/>
        <v/>
      </c>
    </row>
    <row r="38" ht="12.75" customHeight="1">
      <c r="A38" s="7" t="s">
        <v>10</v>
      </c>
      <c r="B38" s="7" t="s">
        <v>10</v>
      </c>
      <c r="C38" s="7" t="s">
        <v>12</v>
      </c>
      <c r="D38" s="7" t="s">
        <v>12</v>
      </c>
      <c r="E38" s="8">
        <f t="shared" ref="E38:H38" si="62">IF(A38="&lt; Rp10.000",1,
IF(A38="Rp10.000 – Rp20.000",2,
IF(A38="Rp21.000 – Rp35.000",3,
IF(A38="Rp36.000 – Rp50.000",4,
IF(A38="&gt; Rp50.000",5,"")))))</f>
        <v>2</v>
      </c>
      <c r="F38" s="8">
        <f t="shared" si="62"/>
        <v>2</v>
      </c>
      <c r="G38" s="8">
        <f t="shared" si="62"/>
        <v>5</v>
      </c>
      <c r="H38" s="8">
        <f t="shared" si="62"/>
        <v>5</v>
      </c>
      <c r="I38" s="9"/>
      <c r="J38" s="9"/>
      <c r="K38" s="9"/>
      <c r="L38" s="9"/>
      <c r="M38" s="9"/>
      <c r="N38" s="9"/>
      <c r="O38" s="9"/>
      <c r="P38" s="14">
        <f t="shared" si="4"/>
        <v>3.16227766</v>
      </c>
      <c r="Q38" s="14">
        <f t="shared" si="5"/>
        <v>3.16227766</v>
      </c>
      <c r="R38" s="14">
        <f t="shared" si="6"/>
        <v>3.605551275</v>
      </c>
      <c r="S38" s="14">
        <f t="shared" si="7"/>
        <v>6.403124237</v>
      </c>
      <c r="T38" s="14">
        <f t="shared" si="8"/>
        <v>2.828427125</v>
      </c>
      <c r="U38" s="14">
        <f t="shared" si="9"/>
        <v>5</v>
      </c>
      <c r="V38" s="9"/>
      <c r="W38" s="15" t="str">
        <f t="shared" si="10"/>
        <v/>
      </c>
      <c r="X38" s="15" t="str">
        <f t="shared" si="11"/>
        <v/>
      </c>
      <c r="Y38" s="15" t="str">
        <f t="shared" si="12"/>
        <v/>
      </c>
      <c r="Z38" s="15" t="str">
        <f t="shared" si="13"/>
        <v/>
      </c>
      <c r="AA38" s="15" t="str">
        <f t="shared" si="14"/>
        <v/>
      </c>
      <c r="AB38" s="15" t="str">
        <f t="shared" si="15"/>
        <v/>
      </c>
      <c r="AC38" s="15" t="str">
        <f t="shared" si="16"/>
        <v/>
      </c>
      <c r="AD38" s="15" t="str">
        <f t="shared" si="17"/>
        <v/>
      </c>
      <c r="AE38" s="15" t="str">
        <f t="shared" si="18"/>
        <v/>
      </c>
      <c r="AF38" s="15" t="str">
        <f t="shared" si="19"/>
        <v/>
      </c>
      <c r="AG38" s="15" t="str">
        <f t="shared" si="20"/>
        <v/>
      </c>
      <c r="AH38" s="15" t="str">
        <f t="shared" si="21"/>
        <v/>
      </c>
      <c r="AI38" s="15" t="str">
        <f t="shared" si="22"/>
        <v/>
      </c>
      <c r="AJ38" s="15" t="str">
        <f t="shared" si="23"/>
        <v/>
      </c>
      <c r="AK38" s="15" t="str">
        <f t="shared" si="24"/>
        <v/>
      </c>
      <c r="AL38" s="15" t="str">
        <f t="shared" si="25"/>
        <v/>
      </c>
      <c r="AM38" s="15">
        <f t="shared" si="26"/>
        <v>4</v>
      </c>
      <c r="AN38" s="15">
        <f t="shared" si="27"/>
        <v>2</v>
      </c>
      <c r="AO38" s="15">
        <f t="shared" si="28"/>
        <v>5</v>
      </c>
      <c r="AP38" s="15">
        <f t="shared" si="29"/>
        <v>5</v>
      </c>
    </row>
    <row r="39" ht="12.75" customHeight="1">
      <c r="A39" s="7" t="s">
        <v>11</v>
      </c>
      <c r="B39" s="7" t="s">
        <v>11</v>
      </c>
      <c r="C39" s="7" t="s">
        <v>15</v>
      </c>
      <c r="D39" s="7" t="s">
        <v>18</v>
      </c>
      <c r="E39" s="8">
        <f t="shared" ref="E39:H39" si="63">IF(A39="&lt; Rp10.000",1,
IF(A39="Rp10.000 – Rp20.000",2,
IF(A39="Rp21.000 – Rp35.000",3,
IF(A39="Rp36.000 – Rp50.000",4,
IF(A39="&gt; Rp50.000",5,"")))))</f>
        <v>1</v>
      </c>
      <c r="F39" s="8">
        <f t="shared" si="63"/>
        <v>1</v>
      </c>
      <c r="G39" s="8">
        <f t="shared" si="63"/>
        <v>3</v>
      </c>
      <c r="H39" s="8">
        <f t="shared" si="63"/>
        <v>4</v>
      </c>
      <c r="I39" s="9"/>
      <c r="J39" s="9"/>
      <c r="K39" s="9"/>
      <c r="L39" s="9"/>
      <c r="M39" s="9"/>
      <c r="N39" s="9"/>
      <c r="O39" s="9"/>
      <c r="P39" s="14">
        <f t="shared" si="4"/>
        <v>1.414213562</v>
      </c>
      <c r="Q39" s="14">
        <f t="shared" si="5"/>
        <v>1.414213562</v>
      </c>
      <c r="R39" s="14">
        <f t="shared" si="6"/>
        <v>3</v>
      </c>
      <c r="S39" s="14">
        <f t="shared" si="7"/>
        <v>5.744562647</v>
      </c>
      <c r="T39" s="14">
        <f t="shared" si="8"/>
        <v>2</v>
      </c>
      <c r="U39" s="14">
        <f t="shared" si="9"/>
        <v>1</v>
      </c>
      <c r="V39" s="9"/>
      <c r="W39" s="15">
        <f t="shared" si="10"/>
        <v>2</v>
      </c>
      <c r="X39" s="15">
        <f t="shared" si="11"/>
        <v>2</v>
      </c>
      <c r="Y39" s="15">
        <f t="shared" si="12"/>
        <v>5</v>
      </c>
      <c r="Z39" s="15">
        <f t="shared" si="13"/>
        <v>5</v>
      </c>
      <c r="AA39" s="15" t="str">
        <f t="shared" si="14"/>
        <v/>
      </c>
      <c r="AB39" s="15" t="str">
        <f t="shared" si="15"/>
        <v/>
      </c>
      <c r="AC39" s="15" t="str">
        <f t="shared" si="16"/>
        <v/>
      </c>
      <c r="AD39" s="15">
        <f t="shared" si="17"/>
        <v>5</v>
      </c>
      <c r="AE39" s="15" t="str">
        <f t="shared" si="18"/>
        <v/>
      </c>
      <c r="AF39" s="15" t="str">
        <f t="shared" si="19"/>
        <v/>
      </c>
      <c r="AG39" s="15" t="str">
        <f t="shared" si="20"/>
        <v/>
      </c>
      <c r="AH39" s="15" t="str">
        <f t="shared" si="21"/>
        <v/>
      </c>
      <c r="AI39" s="15" t="str">
        <f t="shared" si="22"/>
        <v/>
      </c>
      <c r="AJ39" s="15" t="str">
        <f t="shared" si="23"/>
        <v/>
      </c>
      <c r="AK39" s="15" t="str">
        <f t="shared" si="24"/>
        <v/>
      </c>
      <c r="AL39" s="15" t="str">
        <f t="shared" si="25"/>
        <v/>
      </c>
      <c r="AM39" s="15" t="str">
        <f t="shared" si="26"/>
        <v/>
      </c>
      <c r="AN39" s="15" t="str">
        <f t="shared" si="27"/>
        <v/>
      </c>
      <c r="AO39" s="15" t="str">
        <f t="shared" si="28"/>
        <v/>
      </c>
      <c r="AP39" s="15" t="str">
        <f t="shared" si="29"/>
        <v/>
      </c>
    </row>
    <row r="40" ht="12.75" customHeight="1">
      <c r="A40" s="7" t="s">
        <v>11</v>
      </c>
      <c r="B40" s="7" t="s">
        <v>15</v>
      </c>
      <c r="C40" s="7" t="s">
        <v>18</v>
      </c>
      <c r="D40" s="7" t="s">
        <v>12</v>
      </c>
      <c r="E40" s="8">
        <f t="shared" ref="E40:H40" si="64">IF(A40="&lt; Rp10.000",1,
IF(A40="Rp10.000 – Rp20.000",2,
IF(A40="Rp21.000 – Rp35.000",3,
IF(A40="Rp36.000 – Rp50.000",4,
IF(A40="&gt; Rp50.000",5,"")))))</f>
        <v>1</v>
      </c>
      <c r="F40" s="8">
        <f t="shared" si="64"/>
        <v>3</v>
      </c>
      <c r="G40" s="8">
        <f t="shared" si="64"/>
        <v>4</v>
      </c>
      <c r="H40" s="8">
        <f t="shared" si="64"/>
        <v>5</v>
      </c>
      <c r="I40" s="9"/>
      <c r="J40" s="9"/>
      <c r="K40" s="9"/>
      <c r="L40" s="9"/>
      <c r="M40" s="9"/>
      <c r="N40" s="9"/>
      <c r="O40" s="9"/>
      <c r="P40" s="14">
        <f t="shared" si="4"/>
        <v>3</v>
      </c>
      <c r="Q40" s="14">
        <f t="shared" si="5"/>
        <v>2.236067977</v>
      </c>
      <c r="R40" s="14">
        <f t="shared" si="6"/>
        <v>2.449489743</v>
      </c>
      <c r="S40" s="14">
        <f t="shared" si="7"/>
        <v>3.741657387</v>
      </c>
      <c r="T40" s="14">
        <f t="shared" si="8"/>
        <v>2.645751311</v>
      </c>
      <c r="U40" s="14">
        <f t="shared" si="9"/>
        <v>2</v>
      </c>
      <c r="V40" s="9"/>
      <c r="W40" s="15" t="str">
        <f t="shared" si="10"/>
        <v/>
      </c>
      <c r="X40" s="15" t="str">
        <f t="shared" si="11"/>
        <v/>
      </c>
      <c r="Y40" s="15" t="str">
        <f t="shared" si="12"/>
        <v/>
      </c>
      <c r="Z40" s="15" t="str">
        <f t="shared" si="13"/>
        <v/>
      </c>
      <c r="AA40" s="15">
        <f t="shared" si="14"/>
        <v>1</v>
      </c>
      <c r="AB40" s="15">
        <f t="shared" si="15"/>
        <v>1</v>
      </c>
      <c r="AC40" s="15">
        <f t="shared" si="16"/>
        <v>3</v>
      </c>
      <c r="AD40" s="15" t="str">
        <f t="shared" si="17"/>
        <v/>
      </c>
      <c r="AE40" s="15" t="str">
        <f t="shared" si="18"/>
        <v/>
      </c>
      <c r="AF40" s="15" t="str">
        <f t="shared" si="19"/>
        <v/>
      </c>
      <c r="AG40" s="15" t="str">
        <f t="shared" si="20"/>
        <v/>
      </c>
      <c r="AH40" s="15" t="str">
        <f t="shared" si="21"/>
        <v/>
      </c>
      <c r="AI40" s="15" t="str">
        <f t="shared" si="22"/>
        <v/>
      </c>
      <c r="AJ40" s="15" t="str">
        <f t="shared" si="23"/>
        <v/>
      </c>
      <c r="AK40" s="15" t="str">
        <f t="shared" si="24"/>
        <v/>
      </c>
      <c r="AL40" s="15" t="str">
        <f t="shared" si="25"/>
        <v/>
      </c>
      <c r="AM40" s="15" t="str">
        <f t="shared" si="26"/>
        <v/>
      </c>
      <c r="AN40" s="15" t="str">
        <f t="shared" si="27"/>
        <v/>
      </c>
      <c r="AO40" s="15" t="str">
        <f t="shared" si="28"/>
        <v/>
      </c>
      <c r="AP40" s="15" t="str">
        <f t="shared" si="29"/>
        <v/>
      </c>
    </row>
    <row r="41" ht="12.75" customHeight="1">
      <c r="A41" s="7" t="s">
        <v>11</v>
      </c>
      <c r="B41" s="7" t="s">
        <v>15</v>
      </c>
      <c r="C41" s="7" t="s">
        <v>12</v>
      </c>
      <c r="D41" s="7" t="s">
        <v>12</v>
      </c>
      <c r="E41" s="8">
        <f t="shared" ref="E41:H41" si="65">IF(A41="&lt; Rp10.000",1,
IF(A41="Rp10.000 – Rp20.000",2,
IF(A41="Rp21.000 – Rp35.000",3,
IF(A41="Rp36.000 – Rp50.000",4,
IF(A41="&gt; Rp50.000",5,"")))))</f>
        <v>1</v>
      </c>
      <c r="F41" s="8">
        <f t="shared" si="65"/>
        <v>3</v>
      </c>
      <c r="G41" s="8">
        <f t="shared" si="65"/>
        <v>5</v>
      </c>
      <c r="H41" s="8">
        <f t="shared" si="65"/>
        <v>5</v>
      </c>
      <c r="I41" s="9"/>
      <c r="J41" s="9"/>
      <c r="K41" s="9"/>
      <c r="L41" s="9"/>
      <c r="M41" s="9"/>
      <c r="N41" s="9"/>
      <c r="O41" s="9"/>
      <c r="P41" s="14">
        <f t="shared" si="4"/>
        <v>1</v>
      </c>
      <c r="Q41" s="14">
        <f t="shared" si="5"/>
        <v>1.732050808</v>
      </c>
      <c r="R41" s="14">
        <f t="shared" si="6"/>
        <v>2.449489743</v>
      </c>
      <c r="S41" s="14">
        <f t="shared" si="7"/>
        <v>5.099019514</v>
      </c>
      <c r="T41" s="14">
        <f t="shared" si="8"/>
        <v>2.645751311</v>
      </c>
      <c r="U41" s="14">
        <f t="shared" si="9"/>
        <v>1</v>
      </c>
      <c r="V41" s="9"/>
      <c r="W41" s="15">
        <f t="shared" si="10"/>
        <v>1</v>
      </c>
      <c r="X41" s="15">
        <f t="shared" si="11"/>
        <v>3</v>
      </c>
      <c r="Y41" s="15">
        <f t="shared" si="12"/>
        <v>4</v>
      </c>
      <c r="Z41" s="15">
        <f t="shared" si="13"/>
        <v>5</v>
      </c>
      <c r="AA41" s="15" t="str">
        <f t="shared" si="14"/>
        <v/>
      </c>
      <c r="AB41" s="15" t="str">
        <f t="shared" si="15"/>
        <v/>
      </c>
      <c r="AC41" s="15" t="str">
        <f t="shared" si="16"/>
        <v/>
      </c>
      <c r="AD41" s="15">
        <f t="shared" si="17"/>
        <v>5</v>
      </c>
      <c r="AE41" s="15" t="str">
        <f t="shared" si="18"/>
        <v/>
      </c>
      <c r="AF41" s="15" t="str">
        <f t="shared" si="19"/>
        <v/>
      </c>
      <c r="AG41" s="15" t="str">
        <f t="shared" si="20"/>
        <v/>
      </c>
      <c r="AH41" s="15" t="str">
        <f t="shared" si="21"/>
        <v/>
      </c>
      <c r="AI41" s="15" t="str">
        <f t="shared" si="22"/>
        <v/>
      </c>
      <c r="AJ41" s="15" t="str">
        <f t="shared" si="23"/>
        <v/>
      </c>
      <c r="AK41" s="15" t="str">
        <f t="shared" si="24"/>
        <v/>
      </c>
      <c r="AL41" s="15" t="str">
        <f t="shared" si="25"/>
        <v/>
      </c>
      <c r="AM41" s="15" t="str">
        <f t="shared" si="26"/>
        <v/>
      </c>
      <c r="AN41" s="15" t="str">
        <f t="shared" si="27"/>
        <v/>
      </c>
      <c r="AO41" s="15" t="str">
        <f t="shared" si="28"/>
        <v/>
      </c>
      <c r="AP41" s="15" t="str">
        <f t="shared" si="29"/>
        <v/>
      </c>
    </row>
    <row r="42" ht="12.75" customHeight="1">
      <c r="A42" s="7" t="s">
        <v>10</v>
      </c>
      <c r="B42" s="7" t="s">
        <v>11</v>
      </c>
      <c r="C42" s="7" t="s">
        <v>11</v>
      </c>
      <c r="D42" s="7" t="s">
        <v>15</v>
      </c>
      <c r="E42" s="8">
        <f t="shared" ref="E42:H42" si="66">IF(A42="&lt; Rp10.000",1,
IF(A42="Rp10.000 – Rp20.000",2,
IF(A42="Rp21.000 – Rp35.000",3,
IF(A42="Rp36.000 – Rp50.000",4,
IF(A42="&gt; Rp50.000",5,"")))))</f>
        <v>2</v>
      </c>
      <c r="F42" s="8">
        <f t="shared" si="66"/>
        <v>1</v>
      </c>
      <c r="G42" s="8">
        <f t="shared" si="66"/>
        <v>1</v>
      </c>
      <c r="H42" s="8">
        <f t="shared" si="66"/>
        <v>3</v>
      </c>
      <c r="I42" s="9"/>
      <c r="J42" s="9"/>
      <c r="K42" s="9"/>
      <c r="L42" s="9"/>
      <c r="M42" s="9"/>
      <c r="N42" s="9"/>
      <c r="O42" s="9"/>
      <c r="P42" s="14">
        <f t="shared" si="4"/>
        <v>0</v>
      </c>
      <c r="Q42" s="14">
        <f t="shared" si="5"/>
        <v>1.414213562</v>
      </c>
      <c r="R42" s="14">
        <f t="shared" si="6"/>
        <v>3</v>
      </c>
      <c r="S42" s="14">
        <f t="shared" si="7"/>
        <v>5.744562647</v>
      </c>
      <c r="T42" s="14">
        <f t="shared" si="8"/>
        <v>2.449489743</v>
      </c>
      <c r="U42" s="14">
        <f t="shared" si="9"/>
        <v>1</v>
      </c>
      <c r="V42" s="9"/>
      <c r="W42" s="15">
        <f t="shared" si="10"/>
        <v>1</v>
      </c>
      <c r="X42" s="15">
        <f t="shared" si="11"/>
        <v>3</v>
      </c>
      <c r="Y42" s="15">
        <f t="shared" si="12"/>
        <v>5</v>
      </c>
      <c r="Z42" s="15">
        <f t="shared" si="13"/>
        <v>5</v>
      </c>
      <c r="AA42" s="15" t="str">
        <f t="shared" si="14"/>
        <v/>
      </c>
      <c r="AB42" s="15" t="str">
        <f t="shared" si="15"/>
        <v/>
      </c>
      <c r="AC42" s="15" t="str">
        <f t="shared" si="16"/>
        <v/>
      </c>
      <c r="AD42" s="15">
        <f t="shared" si="17"/>
        <v>5</v>
      </c>
      <c r="AE42" s="15" t="str">
        <f t="shared" si="18"/>
        <v/>
      </c>
      <c r="AF42" s="15" t="str">
        <f t="shared" si="19"/>
        <v/>
      </c>
      <c r="AG42" s="15" t="str">
        <f t="shared" si="20"/>
        <v/>
      </c>
      <c r="AH42" s="15" t="str">
        <f t="shared" si="21"/>
        <v/>
      </c>
      <c r="AI42" s="15" t="str">
        <f t="shared" si="22"/>
        <v/>
      </c>
      <c r="AJ42" s="15" t="str">
        <f t="shared" si="23"/>
        <v/>
      </c>
      <c r="AK42" s="15" t="str">
        <f t="shared" si="24"/>
        <v/>
      </c>
      <c r="AL42" s="15" t="str">
        <f t="shared" si="25"/>
        <v/>
      </c>
      <c r="AM42" s="15" t="str">
        <f t="shared" si="26"/>
        <v/>
      </c>
      <c r="AN42" s="15" t="str">
        <f t="shared" si="27"/>
        <v/>
      </c>
      <c r="AO42" s="15" t="str">
        <f t="shared" si="28"/>
        <v/>
      </c>
      <c r="AP42" s="15" t="str">
        <f t="shared" si="29"/>
        <v/>
      </c>
    </row>
    <row r="43" ht="12.75" customHeight="1">
      <c r="A43" s="7" t="s">
        <v>15</v>
      </c>
      <c r="B43" s="7" t="s">
        <v>18</v>
      </c>
      <c r="C43" s="7" t="s">
        <v>12</v>
      </c>
      <c r="D43" s="7" t="s">
        <v>15</v>
      </c>
      <c r="E43" s="8">
        <f t="shared" ref="E43:H43" si="67">IF(A43="&lt; Rp10.000",1,
IF(A43="Rp10.000 – Rp20.000",2,
IF(A43="Rp21.000 – Rp35.000",3,
IF(A43="Rp36.000 – Rp50.000",4,
IF(A43="&gt; Rp50.000",5,"")))))</f>
        <v>3</v>
      </c>
      <c r="F43" s="8">
        <f t="shared" si="67"/>
        <v>4</v>
      </c>
      <c r="G43" s="8">
        <f t="shared" si="67"/>
        <v>5</v>
      </c>
      <c r="H43" s="8">
        <f t="shared" si="67"/>
        <v>3</v>
      </c>
      <c r="I43" s="9"/>
      <c r="J43" s="9"/>
      <c r="K43" s="9"/>
      <c r="L43" s="9"/>
      <c r="M43" s="9"/>
      <c r="N43" s="9"/>
      <c r="O43" s="9"/>
      <c r="P43" s="14">
        <f t="shared" si="4"/>
        <v>5</v>
      </c>
      <c r="Q43" s="14">
        <f t="shared" si="5"/>
        <v>4.358898944</v>
      </c>
      <c r="R43" s="14">
        <f t="shared" si="6"/>
        <v>2.828427125</v>
      </c>
      <c r="S43" s="14">
        <f t="shared" si="7"/>
        <v>2.449489743</v>
      </c>
      <c r="T43" s="14">
        <f t="shared" si="8"/>
        <v>4.123105626</v>
      </c>
      <c r="U43" s="14">
        <f t="shared" si="9"/>
        <v>4</v>
      </c>
      <c r="V43" s="9"/>
      <c r="W43" s="15" t="str">
        <f t="shared" si="10"/>
        <v/>
      </c>
      <c r="X43" s="15" t="str">
        <f t="shared" si="11"/>
        <v/>
      </c>
      <c r="Y43" s="15" t="str">
        <f t="shared" si="12"/>
        <v/>
      </c>
      <c r="Z43" s="15" t="str">
        <f t="shared" si="13"/>
        <v/>
      </c>
      <c r="AA43" s="15" t="str">
        <f t="shared" si="14"/>
        <v/>
      </c>
      <c r="AB43" s="15" t="str">
        <f t="shared" si="15"/>
        <v/>
      </c>
      <c r="AC43" s="15" t="str">
        <f t="shared" si="16"/>
        <v/>
      </c>
      <c r="AD43" s="15" t="str">
        <f t="shared" si="17"/>
        <v/>
      </c>
      <c r="AE43" s="15" t="str">
        <f t="shared" si="18"/>
        <v/>
      </c>
      <c r="AF43" s="15" t="str">
        <f t="shared" si="19"/>
        <v/>
      </c>
      <c r="AG43" s="15" t="str">
        <f t="shared" si="20"/>
        <v/>
      </c>
      <c r="AH43" s="15" t="str">
        <f t="shared" si="21"/>
        <v/>
      </c>
      <c r="AI43" s="15">
        <f t="shared" si="22"/>
        <v>2</v>
      </c>
      <c r="AJ43" s="15">
        <f t="shared" si="23"/>
        <v>1</v>
      </c>
      <c r="AK43" s="15">
        <f t="shared" si="24"/>
        <v>1</v>
      </c>
      <c r="AL43" s="15">
        <f t="shared" si="25"/>
        <v>3</v>
      </c>
      <c r="AM43" s="15" t="str">
        <f t="shared" si="26"/>
        <v/>
      </c>
      <c r="AN43" s="15" t="str">
        <f t="shared" si="27"/>
        <v/>
      </c>
      <c r="AO43" s="15" t="str">
        <f t="shared" si="28"/>
        <v/>
      </c>
      <c r="AP43" s="15" t="str">
        <f t="shared" si="29"/>
        <v/>
      </c>
    </row>
    <row r="44" ht="12.75" customHeight="1">
      <c r="A44" s="7" t="s">
        <v>11</v>
      </c>
      <c r="B44" s="7" t="s">
        <v>10</v>
      </c>
      <c r="C44" s="7" t="s">
        <v>18</v>
      </c>
      <c r="D44" s="7" t="s">
        <v>15</v>
      </c>
      <c r="E44" s="8">
        <f t="shared" ref="E44:H44" si="68">IF(A44="&lt; Rp10.000",1,
IF(A44="Rp10.000 – Rp20.000",2,
IF(A44="Rp21.000 – Rp35.000",3,
IF(A44="Rp36.000 – Rp50.000",4,
IF(A44="&gt; Rp50.000",5,"")))))</f>
        <v>1</v>
      </c>
      <c r="F44" s="8">
        <f t="shared" si="68"/>
        <v>2</v>
      </c>
      <c r="G44" s="8">
        <f t="shared" si="68"/>
        <v>4</v>
      </c>
      <c r="H44" s="8">
        <f t="shared" si="68"/>
        <v>3</v>
      </c>
      <c r="I44" s="9"/>
      <c r="J44" s="9"/>
      <c r="K44" s="9"/>
      <c r="L44" s="9"/>
      <c r="M44" s="9"/>
      <c r="N44" s="9"/>
      <c r="O44" s="9"/>
      <c r="P44" s="14">
        <f t="shared" si="4"/>
        <v>3</v>
      </c>
      <c r="Q44" s="14">
        <f t="shared" si="5"/>
        <v>3</v>
      </c>
      <c r="R44" s="14">
        <f t="shared" si="6"/>
        <v>2.449489743</v>
      </c>
      <c r="S44" s="14">
        <f t="shared" si="7"/>
        <v>5.291502622</v>
      </c>
      <c r="T44" s="14">
        <f t="shared" si="8"/>
        <v>2.236067977</v>
      </c>
      <c r="U44" s="14">
        <f t="shared" si="9"/>
        <v>5</v>
      </c>
      <c r="V44" s="9"/>
      <c r="W44" s="15" t="str">
        <f t="shared" si="10"/>
        <v/>
      </c>
      <c r="X44" s="15" t="str">
        <f t="shared" si="11"/>
        <v/>
      </c>
      <c r="Y44" s="15" t="str">
        <f t="shared" si="12"/>
        <v/>
      </c>
      <c r="Z44" s="15" t="str">
        <f t="shared" si="13"/>
        <v/>
      </c>
      <c r="AA44" s="15" t="str">
        <f t="shared" si="14"/>
        <v/>
      </c>
      <c r="AB44" s="15" t="str">
        <f t="shared" si="15"/>
        <v/>
      </c>
      <c r="AC44" s="15" t="str">
        <f t="shared" si="16"/>
        <v/>
      </c>
      <c r="AD44" s="15" t="str">
        <f t="shared" si="17"/>
        <v/>
      </c>
      <c r="AE44" s="15" t="str">
        <f t="shared" si="18"/>
        <v/>
      </c>
      <c r="AF44" s="15" t="str">
        <f t="shared" si="19"/>
        <v/>
      </c>
      <c r="AG44" s="15" t="str">
        <f t="shared" si="20"/>
        <v/>
      </c>
      <c r="AH44" s="15" t="str">
        <f t="shared" si="21"/>
        <v/>
      </c>
      <c r="AI44" s="15" t="str">
        <f t="shared" si="22"/>
        <v/>
      </c>
      <c r="AJ44" s="15" t="str">
        <f t="shared" si="23"/>
        <v/>
      </c>
      <c r="AK44" s="15" t="str">
        <f t="shared" si="24"/>
        <v/>
      </c>
      <c r="AL44" s="15" t="str">
        <f t="shared" si="25"/>
        <v/>
      </c>
      <c r="AM44" s="15">
        <f t="shared" si="26"/>
        <v>3</v>
      </c>
      <c r="AN44" s="15">
        <f t="shared" si="27"/>
        <v>4</v>
      </c>
      <c r="AO44" s="15">
        <f t="shared" si="28"/>
        <v>5</v>
      </c>
      <c r="AP44" s="15">
        <f t="shared" si="29"/>
        <v>3</v>
      </c>
    </row>
    <row r="45" ht="12.75" customHeight="1">
      <c r="A45" s="7" t="s">
        <v>11</v>
      </c>
      <c r="B45" s="7" t="s">
        <v>15</v>
      </c>
      <c r="C45" s="7" t="s">
        <v>11</v>
      </c>
      <c r="D45" s="7" t="s">
        <v>12</v>
      </c>
      <c r="E45" s="8">
        <f t="shared" ref="E45:H45" si="69">IF(A45="&lt; Rp10.000",1,
IF(A45="Rp10.000 – Rp20.000",2,
IF(A45="Rp21.000 – Rp35.000",3,
IF(A45="Rp36.000 – Rp50.000",4,
IF(A45="&gt; Rp50.000",5,"")))))</f>
        <v>1</v>
      </c>
      <c r="F45" s="8">
        <f t="shared" si="69"/>
        <v>3</v>
      </c>
      <c r="G45" s="8">
        <f t="shared" si="69"/>
        <v>1</v>
      </c>
      <c r="H45" s="8">
        <f t="shared" si="69"/>
        <v>5</v>
      </c>
      <c r="I45" s="9"/>
      <c r="J45" s="9"/>
      <c r="K45" s="9"/>
      <c r="L45" s="9"/>
      <c r="M45" s="9"/>
      <c r="N45" s="9"/>
      <c r="O45" s="9"/>
      <c r="P45" s="14">
        <f t="shared" si="4"/>
        <v>2.449489743</v>
      </c>
      <c r="Q45" s="14">
        <f t="shared" si="5"/>
        <v>1.414213562</v>
      </c>
      <c r="R45" s="14">
        <f t="shared" si="6"/>
        <v>1.732050808</v>
      </c>
      <c r="S45" s="14">
        <f t="shared" si="7"/>
        <v>3.605551275</v>
      </c>
      <c r="T45" s="14">
        <f t="shared" si="8"/>
        <v>1.414213562</v>
      </c>
      <c r="U45" s="14">
        <f t="shared" si="9"/>
        <v>2</v>
      </c>
      <c r="V45" s="9"/>
      <c r="W45" s="15" t="str">
        <f t="shared" si="10"/>
        <v/>
      </c>
      <c r="X45" s="15" t="str">
        <f t="shared" si="11"/>
        <v/>
      </c>
      <c r="Y45" s="15" t="str">
        <f t="shared" si="12"/>
        <v/>
      </c>
      <c r="Z45" s="15" t="str">
        <f t="shared" si="13"/>
        <v/>
      </c>
      <c r="AA45" s="15">
        <f t="shared" si="14"/>
        <v>1</v>
      </c>
      <c r="AB45" s="15">
        <f t="shared" si="15"/>
        <v>2</v>
      </c>
      <c r="AC45" s="15">
        <f t="shared" si="16"/>
        <v>4</v>
      </c>
      <c r="AD45" s="15" t="str">
        <f t="shared" si="17"/>
        <v/>
      </c>
      <c r="AE45" s="15" t="str">
        <f t="shared" si="18"/>
        <v/>
      </c>
      <c r="AF45" s="15" t="str">
        <f t="shared" si="19"/>
        <v/>
      </c>
      <c r="AG45" s="15" t="str">
        <f t="shared" si="20"/>
        <v/>
      </c>
      <c r="AH45" s="15" t="str">
        <f t="shared" si="21"/>
        <v/>
      </c>
      <c r="AI45" s="15" t="str">
        <f t="shared" si="22"/>
        <v/>
      </c>
      <c r="AJ45" s="15" t="str">
        <f t="shared" si="23"/>
        <v/>
      </c>
      <c r="AK45" s="15" t="str">
        <f t="shared" si="24"/>
        <v/>
      </c>
      <c r="AL45" s="15" t="str">
        <f t="shared" si="25"/>
        <v/>
      </c>
      <c r="AM45" s="15" t="str">
        <f t="shared" si="26"/>
        <v/>
      </c>
      <c r="AN45" s="15" t="str">
        <f t="shared" si="27"/>
        <v/>
      </c>
      <c r="AO45" s="15" t="str">
        <f t="shared" si="28"/>
        <v/>
      </c>
      <c r="AP45" s="15" t="str">
        <f t="shared" si="29"/>
        <v/>
      </c>
    </row>
    <row r="46" ht="12.75" customHeight="1">
      <c r="A46" s="7" t="s">
        <v>15</v>
      </c>
      <c r="B46" s="7" t="s">
        <v>10</v>
      </c>
      <c r="C46" s="7" t="s">
        <v>12</v>
      </c>
      <c r="D46" s="7" t="s">
        <v>18</v>
      </c>
      <c r="E46" s="8">
        <f t="shared" ref="E46:H46" si="70">IF(A46="&lt; Rp10.000",1,
IF(A46="Rp10.000 – Rp20.000",2,
IF(A46="Rp21.000 – Rp35.000",3,
IF(A46="Rp36.000 – Rp50.000",4,
IF(A46="&gt; Rp50.000",5,"")))))</f>
        <v>3</v>
      </c>
      <c r="F46" s="8">
        <f t="shared" si="70"/>
        <v>2</v>
      </c>
      <c r="G46" s="8">
        <f t="shared" si="70"/>
        <v>5</v>
      </c>
      <c r="H46" s="8">
        <f t="shared" si="70"/>
        <v>4</v>
      </c>
      <c r="I46" s="9"/>
      <c r="J46" s="9"/>
      <c r="K46" s="9"/>
      <c r="L46" s="9"/>
      <c r="M46" s="9"/>
      <c r="N46" s="9"/>
      <c r="O46" s="9"/>
      <c r="P46" s="14">
        <f t="shared" si="4"/>
        <v>4</v>
      </c>
      <c r="Q46" s="14">
        <f t="shared" si="5"/>
        <v>4.242640687</v>
      </c>
      <c r="R46" s="14">
        <f t="shared" si="6"/>
        <v>3</v>
      </c>
      <c r="S46" s="14">
        <f t="shared" si="7"/>
        <v>4.123105626</v>
      </c>
      <c r="T46" s="14">
        <f t="shared" si="8"/>
        <v>4.69041576</v>
      </c>
      <c r="U46" s="14">
        <f t="shared" si="9"/>
        <v>3</v>
      </c>
      <c r="V46" s="9"/>
      <c r="W46" s="15" t="str">
        <f t="shared" si="10"/>
        <v/>
      </c>
      <c r="X46" s="15" t="str">
        <f t="shared" si="11"/>
        <v/>
      </c>
      <c r="Y46" s="15" t="str">
        <f t="shared" si="12"/>
        <v/>
      </c>
      <c r="Z46" s="15" t="str">
        <f t="shared" si="13"/>
        <v/>
      </c>
      <c r="AA46" s="15" t="str">
        <f t="shared" si="14"/>
        <v/>
      </c>
      <c r="AB46" s="15" t="str">
        <f t="shared" si="15"/>
        <v/>
      </c>
      <c r="AC46" s="15" t="str">
        <f t="shared" si="16"/>
        <v/>
      </c>
      <c r="AD46" s="15" t="str">
        <f t="shared" si="17"/>
        <v/>
      </c>
      <c r="AE46" s="15">
        <f t="shared" si="18"/>
        <v>1</v>
      </c>
      <c r="AF46" s="15">
        <f t="shared" si="19"/>
        <v>3</v>
      </c>
      <c r="AG46" s="15">
        <f t="shared" si="20"/>
        <v>1</v>
      </c>
      <c r="AH46" s="15">
        <f t="shared" si="21"/>
        <v>5</v>
      </c>
      <c r="AI46" s="15" t="str">
        <f t="shared" si="22"/>
        <v/>
      </c>
      <c r="AJ46" s="15" t="str">
        <f t="shared" si="23"/>
        <v/>
      </c>
      <c r="AK46" s="15" t="str">
        <f t="shared" si="24"/>
        <v/>
      </c>
      <c r="AL46" s="15" t="str">
        <f t="shared" si="25"/>
        <v/>
      </c>
      <c r="AM46" s="15" t="str">
        <f t="shared" si="26"/>
        <v/>
      </c>
      <c r="AN46" s="15" t="str">
        <f t="shared" si="27"/>
        <v/>
      </c>
      <c r="AO46" s="15" t="str">
        <f t="shared" si="28"/>
        <v/>
      </c>
      <c r="AP46" s="15" t="str">
        <f t="shared" si="29"/>
        <v/>
      </c>
    </row>
    <row r="47" ht="12.75" customHeight="1">
      <c r="A47" s="7" t="s">
        <v>11</v>
      </c>
      <c r="B47" s="7" t="s">
        <v>15</v>
      </c>
      <c r="C47" s="7" t="s">
        <v>15</v>
      </c>
      <c r="D47" s="7" t="s">
        <v>18</v>
      </c>
      <c r="E47" s="8">
        <f t="shared" ref="E47:H47" si="71">IF(A47="&lt; Rp10.000",1,
IF(A47="Rp10.000 – Rp20.000",2,
IF(A47="Rp21.000 – Rp35.000",3,
IF(A47="Rp36.000 – Rp50.000",4,
IF(A47="&gt; Rp50.000",5,"")))))</f>
        <v>1</v>
      </c>
      <c r="F47" s="8">
        <f t="shared" si="71"/>
        <v>3</v>
      </c>
      <c r="G47" s="8">
        <f t="shared" si="71"/>
        <v>3</v>
      </c>
      <c r="H47" s="8">
        <f t="shared" si="71"/>
        <v>4</v>
      </c>
      <c r="I47" s="9"/>
      <c r="J47" s="9"/>
      <c r="K47" s="9"/>
      <c r="L47" s="9"/>
      <c r="M47" s="9"/>
      <c r="N47" s="9"/>
      <c r="O47" s="9"/>
      <c r="P47" s="14">
        <f t="shared" si="4"/>
        <v>2.449489743</v>
      </c>
      <c r="Q47" s="14">
        <f t="shared" si="5"/>
        <v>2</v>
      </c>
      <c r="R47" s="14">
        <f t="shared" si="6"/>
        <v>2.645751311</v>
      </c>
      <c r="S47" s="14">
        <f t="shared" si="7"/>
        <v>5.385164807</v>
      </c>
      <c r="T47" s="14">
        <f t="shared" si="8"/>
        <v>1.414213562</v>
      </c>
      <c r="U47" s="14">
        <f t="shared" si="9"/>
        <v>5</v>
      </c>
      <c r="V47" s="9"/>
      <c r="W47" s="15" t="str">
        <f t="shared" si="10"/>
        <v/>
      </c>
      <c r="X47" s="15" t="str">
        <f t="shared" si="11"/>
        <v/>
      </c>
      <c r="Y47" s="15" t="str">
        <f t="shared" si="12"/>
        <v/>
      </c>
      <c r="Z47" s="15" t="str">
        <f t="shared" si="13"/>
        <v/>
      </c>
      <c r="AA47" s="15" t="str">
        <f t="shared" si="14"/>
        <v/>
      </c>
      <c r="AB47" s="15" t="str">
        <f t="shared" si="15"/>
        <v/>
      </c>
      <c r="AC47" s="15" t="str">
        <f t="shared" si="16"/>
        <v/>
      </c>
      <c r="AD47" s="15" t="str">
        <f t="shared" si="17"/>
        <v/>
      </c>
      <c r="AE47" s="15" t="str">
        <f t="shared" si="18"/>
        <v/>
      </c>
      <c r="AF47" s="15" t="str">
        <f t="shared" si="19"/>
        <v/>
      </c>
      <c r="AG47" s="15" t="str">
        <f t="shared" si="20"/>
        <v/>
      </c>
      <c r="AH47" s="15" t="str">
        <f t="shared" si="21"/>
        <v/>
      </c>
      <c r="AI47" s="15" t="str">
        <f t="shared" si="22"/>
        <v/>
      </c>
      <c r="AJ47" s="15" t="str">
        <f t="shared" si="23"/>
        <v/>
      </c>
      <c r="AK47" s="15" t="str">
        <f t="shared" si="24"/>
        <v/>
      </c>
      <c r="AL47" s="15" t="str">
        <f t="shared" si="25"/>
        <v/>
      </c>
      <c r="AM47" s="15">
        <f t="shared" si="26"/>
        <v>3</v>
      </c>
      <c r="AN47" s="15">
        <f t="shared" si="27"/>
        <v>2</v>
      </c>
      <c r="AO47" s="15">
        <f t="shared" si="28"/>
        <v>5</v>
      </c>
      <c r="AP47" s="15">
        <f t="shared" si="29"/>
        <v>4</v>
      </c>
    </row>
    <row r="48" ht="12.75" customHeight="1">
      <c r="A48" s="7" t="s">
        <v>11</v>
      </c>
      <c r="B48" s="7" t="s">
        <v>10</v>
      </c>
      <c r="C48" s="7" t="s">
        <v>12</v>
      </c>
      <c r="D48" s="7" t="s">
        <v>15</v>
      </c>
      <c r="E48" s="8">
        <f t="shared" ref="E48:H48" si="72">IF(A48="&lt; Rp10.000",1,
IF(A48="Rp10.000 – Rp20.000",2,
IF(A48="Rp21.000 – Rp35.000",3,
IF(A48="Rp36.000 – Rp50.000",4,
IF(A48="&gt; Rp50.000",5,"")))))</f>
        <v>1</v>
      </c>
      <c r="F48" s="8">
        <f t="shared" si="72"/>
        <v>2</v>
      </c>
      <c r="G48" s="8">
        <f t="shared" si="72"/>
        <v>5</v>
      </c>
      <c r="H48" s="8">
        <f t="shared" si="72"/>
        <v>3</v>
      </c>
      <c r="I48" s="9"/>
      <c r="J48" s="9"/>
      <c r="K48" s="9"/>
      <c r="L48" s="9"/>
      <c r="M48" s="9"/>
      <c r="N48" s="9"/>
      <c r="O48" s="9"/>
      <c r="P48" s="14">
        <f t="shared" si="4"/>
        <v>2.236067977</v>
      </c>
      <c r="Q48" s="14">
        <f t="shared" si="5"/>
        <v>2.236067977</v>
      </c>
      <c r="R48" s="14">
        <f t="shared" si="6"/>
        <v>1.414213562</v>
      </c>
      <c r="S48" s="14">
        <f t="shared" si="7"/>
        <v>3.741657387</v>
      </c>
      <c r="T48" s="14">
        <f t="shared" si="8"/>
        <v>2.645751311</v>
      </c>
      <c r="U48" s="14">
        <f t="shared" si="9"/>
        <v>3</v>
      </c>
      <c r="V48" s="9"/>
      <c r="W48" s="15" t="str">
        <f t="shared" si="10"/>
        <v/>
      </c>
      <c r="X48" s="15" t="str">
        <f t="shared" si="11"/>
        <v/>
      </c>
      <c r="Y48" s="15" t="str">
        <f t="shared" si="12"/>
        <v/>
      </c>
      <c r="Z48" s="15" t="str">
        <f t="shared" si="13"/>
        <v/>
      </c>
      <c r="AA48" s="15" t="str">
        <f t="shared" si="14"/>
        <v/>
      </c>
      <c r="AB48" s="15" t="str">
        <f t="shared" si="15"/>
        <v/>
      </c>
      <c r="AC48" s="15" t="str">
        <f t="shared" si="16"/>
        <v/>
      </c>
      <c r="AD48" s="15" t="str">
        <f t="shared" si="17"/>
        <v/>
      </c>
      <c r="AE48" s="15">
        <f t="shared" si="18"/>
        <v>1</v>
      </c>
      <c r="AF48" s="15">
        <f t="shared" si="19"/>
        <v>3</v>
      </c>
      <c r="AG48" s="15">
        <f t="shared" si="20"/>
        <v>3</v>
      </c>
      <c r="AH48" s="15">
        <f t="shared" si="21"/>
        <v>4</v>
      </c>
      <c r="AI48" s="15" t="str">
        <f t="shared" si="22"/>
        <v/>
      </c>
      <c r="AJ48" s="15" t="str">
        <f t="shared" si="23"/>
        <v/>
      </c>
      <c r="AK48" s="15" t="str">
        <f t="shared" si="24"/>
        <v/>
      </c>
      <c r="AL48" s="15" t="str">
        <f t="shared" si="25"/>
        <v/>
      </c>
      <c r="AM48" s="15" t="str">
        <f t="shared" si="26"/>
        <v/>
      </c>
      <c r="AN48" s="15" t="str">
        <f t="shared" si="27"/>
        <v/>
      </c>
      <c r="AO48" s="15" t="str">
        <f t="shared" si="28"/>
        <v/>
      </c>
      <c r="AP48" s="15" t="str">
        <f t="shared" si="29"/>
        <v/>
      </c>
    </row>
    <row r="49" ht="12.75" customHeight="1">
      <c r="A49" s="7" t="s">
        <v>10</v>
      </c>
      <c r="B49" s="7" t="s">
        <v>10</v>
      </c>
      <c r="C49" s="7" t="s">
        <v>18</v>
      </c>
      <c r="D49" s="7" t="s">
        <v>18</v>
      </c>
      <c r="E49" s="8">
        <f t="shared" ref="E49:H49" si="73">IF(A49="&lt; Rp10.000",1,
IF(A49="Rp10.000 – Rp20.000",2,
IF(A49="Rp21.000 – Rp35.000",3,
IF(A49="Rp36.000 – Rp50.000",4,
IF(A49="&gt; Rp50.000",5,"")))))</f>
        <v>2</v>
      </c>
      <c r="F49" s="8">
        <f t="shared" si="73"/>
        <v>2</v>
      </c>
      <c r="G49" s="8">
        <f t="shared" si="73"/>
        <v>4</v>
      </c>
      <c r="H49" s="8">
        <f t="shared" si="73"/>
        <v>4</v>
      </c>
      <c r="I49" s="9"/>
      <c r="J49" s="9"/>
      <c r="K49" s="9"/>
      <c r="L49" s="9"/>
      <c r="M49" s="9"/>
      <c r="N49" s="9"/>
      <c r="O49" s="9"/>
      <c r="P49" s="14">
        <f t="shared" si="4"/>
        <v>2.236067977</v>
      </c>
      <c r="Q49" s="14">
        <f t="shared" si="5"/>
        <v>1</v>
      </c>
      <c r="R49" s="14">
        <f t="shared" si="6"/>
        <v>2.449489743</v>
      </c>
      <c r="S49" s="14">
        <f t="shared" si="7"/>
        <v>4.472135955</v>
      </c>
      <c r="T49" s="14">
        <f t="shared" si="8"/>
        <v>1</v>
      </c>
      <c r="U49" s="14">
        <f t="shared" si="9"/>
        <v>2</v>
      </c>
      <c r="V49" s="9"/>
      <c r="W49" s="15" t="str">
        <f t="shared" si="10"/>
        <v/>
      </c>
      <c r="X49" s="15" t="str">
        <f t="shared" si="11"/>
        <v/>
      </c>
      <c r="Y49" s="15" t="str">
        <f t="shared" si="12"/>
        <v/>
      </c>
      <c r="Z49" s="15" t="str">
        <f t="shared" si="13"/>
        <v/>
      </c>
      <c r="AA49" s="15">
        <f t="shared" si="14"/>
        <v>1</v>
      </c>
      <c r="AB49" s="15">
        <f t="shared" si="15"/>
        <v>2</v>
      </c>
      <c r="AC49" s="15">
        <f t="shared" si="16"/>
        <v>5</v>
      </c>
      <c r="AD49" s="15" t="str">
        <f t="shared" si="17"/>
        <v/>
      </c>
      <c r="AE49" s="15" t="str">
        <f t="shared" si="18"/>
        <v/>
      </c>
      <c r="AF49" s="15" t="str">
        <f t="shared" si="19"/>
        <v/>
      </c>
      <c r="AG49" s="15" t="str">
        <f t="shared" si="20"/>
        <v/>
      </c>
      <c r="AH49" s="15" t="str">
        <f t="shared" si="21"/>
        <v/>
      </c>
      <c r="AI49" s="15" t="str">
        <f t="shared" si="22"/>
        <v/>
      </c>
      <c r="AJ49" s="15" t="str">
        <f t="shared" si="23"/>
        <v/>
      </c>
      <c r="AK49" s="15" t="str">
        <f t="shared" si="24"/>
        <v/>
      </c>
      <c r="AL49" s="15" t="str">
        <f t="shared" si="25"/>
        <v/>
      </c>
      <c r="AM49" s="15" t="str">
        <f t="shared" si="26"/>
        <v/>
      </c>
      <c r="AN49" s="15" t="str">
        <f t="shared" si="27"/>
        <v/>
      </c>
      <c r="AO49" s="15" t="str">
        <f t="shared" si="28"/>
        <v/>
      </c>
      <c r="AP49" s="15" t="str">
        <f t="shared" si="29"/>
        <v/>
      </c>
    </row>
    <row r="50" ht="12.75" customHeight="1">
      <c r="A50" s="7" t="s">
        <v>15</v>
      </c>
      <c r="B50" s="7" t="s">
        <v>15</v>
      </c>
      <c r="C50" s="7" t="s">
        <v>11</v>
      </c>
      <c r="D50" s="7" t="s">
        <v>18</v>
      </c>
      <c r="E50" s="8">
        <f t="shared" ref="E50:H50" si="74">IF(A50="&lt; Rp10.000",1,
IF(A50="Rp10.000 – Rp20.000",2,
IF(A50="Rp21.000 – Rp35.000",3,
IF(A50="Rp36.000 – Rp50.000",4,
IF(A50="&gt; Rp50.000",5,"")))))</f>
        <v>3</v>
      </c>
      <c r="F50" s="8">
        <f t="shared" si="74"/>
        <v>3</v>
      </c>
      <c r="G50" s="8">
        <f t="shared" si="74"/>
        <v>1</v>
      </c>
      <c r="H50" s="8">
        <f t="shared" si="74"/>
        <v>4</v>
      </c>
      <c r="I50" s="9"/>
      <c r="J50" s="9"/>
      <c r="K50" s="9"/>
      <c r="L50" s="9"/>
      <c r="M50" s="9"/>
      <c r="N50" s="9"/>
      <c r="O50" s="9"/>
      <c r="P50" s="14">
        <f t="shared" si="4"/>
        <v>2</v>
      </c>
      <c r="Q50" s="14">
        <f t="shared" si="5"/>
        <v>1.414213562</v>
      </c>
      <c r="R50" s="14">
        <f t="shared" si="6"/>
        <v>1.732050808</v>
      </c>
      <c r="S50" s="14">
        <f t="shared" si="7"/>
        <v>4.358898944</v>
      </c>
      <c r="T50" s="14">
        <f t="shared" si="8"/>
        <v>1.414213562</v>
      </c>
      <c r="U50" s="14">
        <f t="shared" si="9"/>
        <v>2</v>
      </c>
      <c r="V50" s="9"/>
      <c r="W50" s="15" t="str">
        <f t="shared" si="10"/>
        <v/>
      </c>
      <c r="X50" s="15" t="str">
        <f t="shared" si="11"/>
        <v/>
      </c>
      <c r="Y50" s="15" t="str">
        <f t="shared" si="12"/>
        <v/>
      </c>
      <c r="Z50" s="15" t="str">
        <f t="shared" si="13"/>
        <v/>
      </c>
      <c r="AA50" s="15">
        <f t="shared" si="14"/>
        <v>2</v>
      </c>
      <c r="AB50" s="15">
        <f t="shared" si="15"/>
        <v>2</v>
      </c>
      <c r="AC50" s="15">
        <f t="shared" si="16"/>
        <v>4</v>
      </c>
      <c r="AD50" s="15" t="str">
        <f t="shared" si="17"/>
        <v/>
      </c>
      <c r="AE50" s="15" t="str">
        <f t="shared" si="18"/>
        <v/>
      </c>
      <c r="AF50" s="15" t="str">
        <f t="shared" si="19"/>
        <v/>
      </c>
      <c r="AG50" s="15" t="str">
        <f t="shared" si="20"/>
        <v/>
      </c>
      <c r="AH50" s="15" t="str">
        <f t="shared" si="21"/>
        <v/>
      </c>
      <c r="AI50" s="15" t="str">
        <f t="shared" si="22"/>
        <v/>
      </c>
      <c r="AJ50" s="15" t="str">
        <f t="shared" si="23"/>
        <v/>
      </c>
      <c r="AK50" s="15" t="str">
        <f t="shared" si="24"/>
        <v/>
      </c>
      <c r="AL50" s="15" t="str">
        <f t="shared" si="25"/>
        <v/>
      </c>
      <c r="AM50" s="15" t="str">
        <f t="shared" si="26"/>
        <v/>
      </c>
      <c r="AN50" s="15" t="str">
        <f t="shared" si="27"/>
        <v/>
      </c>
      <c r="AO50" s="15" t="str">
        <f t="shared" si="28"/>
        <v/>
      </c>
      <c r="AP50" s="15" t="str">
        <f t="shared" si="29"/>
        <v/>
      </c>
    </row>
    <row r="51" ht="12.75" customHeight="1">
      <c r="A51" s="7" t="s">
        <v>11</v>
      </c>
      <c r="B51" s="7" t="s">
        <v>10</v>
      </c>
      <c r="C51" s="7" t="s">
        <v>12</v>
      </c>
      <c r="D51" s="7" t="s">
        <v>18</v>
      </c>
      <c r="E51" s="8">
        <f t="shared" ref="E51:H51" si="75">IF(A51="&lt; Rp10.000",1,
IF(A51="Rp10.000 – Rp20.000",2,
IF(A51="Rp21.000 – Rp35.000",3,
IF(A51="Rp36.000 – Rp50.000",4,
IF(A51="&gt; Rp50.000",5,"")))))</f>
        <v>1</v>
      </c>
      <c r="F51" s="8">
        <f t="shared" si="75"/>
        <v>2</v>
      </c>
      <c r="G51" s="8">
        <f t="shared" si="75"/>
        <v>5</v>
      </c>
      <c r="H51" s="8">
        <f t="shared" si="75"/>
        <v>4</v>
      </c>
      <c r="I51" s="9"/>
      <c r="J51" s="9"/>
      <c r="K51" s="9"/>
      <c r="L51" s="9"/>
      <c r="M51" s="9"/>
      <c r="N51" s="9"/>
      <c r="O51" s="9"/>
      <c r="P51" s="14">
        <f t="shared" si="4"/>
        <v>4.582575695</v>
      </c>
      <c r="Q51" s="14">
        <f t="shared" si="5"/>
        <v>4.582575695</v>
      </c>
      <c r="R51" s="14">
        <f t="shared" si="6"/>
        <v>2.449489743</v>
      </c>
      <c r="S51" s="14">
        <f t="shared" si="7"/>
        <v>3.741657387</v>
      </c>
      <c r="T51" s="14">
        <f t="shared" si="8"/>
        <v>4.358898944</v>
      </c>
      <c r="U51" s="14">
        <f t="shared" si="9"/>
        <v>3</v>
      </c>
      <c r="V51" s="9"/>
      <c r="W51" s="15" t="str">
        <f t="shared" si="10"/>
        <v/>
      </c>
      <c r="X51" s="15" t="str">
        <f t="shared" si="11"/>
        <v/>
      </c>
      <c r="Y51" s="15" t="str">
        <f t="shared" si="12"/>
        <v/>
      </c>
      <c r="Z51" s="15" t="str">
        <f t="shared" si="13"/>
        <v/>
      </c>
      <c r="AA51" s="15" t="str">
        <f t="shared" si="14"/>
        <v/>
      </c>
      <c r="AB51" s="15" t="str">
        <f t="shared" si="15"/>
        <v/>
      </c>
      <c r="AC51" s="15" t="str">
        <f t="shared" si="16"/>
        <v/>
      </c>
      <c r="AD51" s="15" t="str">
        <f t="shared" si="17"/>
        <v/>
      </c>
      <c r="AE51" s="15">
        <f t="shared" si="18"/>
        <v>3</v>
      </c>
      <c r="AF51" s="15">
        <f t="shared" si="19"/>
        <v>3</v>
      </c>
      <c r="AG51" s="15">
        <f t="shared" si="20"/>
        <v>1</v>
      </c>
      <c r="AH51" s="15">
        <f t="shared" si="21"/>
        <v>4</v>
      </c>
      <c r="AI51" s="15" t="str">
        <f t="shared" si="22"/>
        <v/>
      </c>
      <c r="AJ51" s="15" t="str">
        <f t="shared" si="23"/>
        <v/>
      </c>
      <c r="AK51" s="15" t="str">
        <f t="shared" si="24"/>
        <v/>
      </c>
      <c r="AL51" s="15" t="str">
        <f t="shared" si="25"/>
        <v/>
      </c>
      <c r="AM51" s="15" t="str">
        <f t="shared" si="26"/>
        <v/>
      </c>
      <c r="AN51" s="15" t="str">
        <f t="shared" si="27"/>
        <v/>
      </c>
      <c r="AO51" s="15" t="str">
        <f t="shared" si="28"/>
        <v/>
      </c>
      <c r="AP51" s="15" t="str">
        <f t="shared" si="29"/>
        <v/>
      </c>
    </row>
    <row r="52" ht="12.75" customHeight="1">
      <c r="A52" s="7" t="s">
        <v>10</v>
      </c>
      <c r="B52" s="7" t="s">
        <v>10</v>
      </c>
      <c r="C52" s="7" t="s">
        <v>12</v>
      </c>
      <c r="D52" s="7" t="s">
        <v>15</v>
      </c>
      <c r="E52" s="8">
        <f t="shared" ref="E52:H52" si="76">IF(A52="&lt; Rp10.000",1,
IF(A52="Rp10.000 – Rp20.000",2,
IF(A52="Rp21.000 – Rp35.000",3,
IF(A52="Rp36.000 – Rp50.000",4,
IF(A52="&gt; Rp50.000",5,"")))))</f>
        <v>2</v>
      </c>
      <c r="F52" s="8">
        <f t="shared" si="76"/>
        <v>2</v>
      </c>
      <c r="G52" s="8">
        <f t="shared" si="76"/>
        <v>5</v>
      </c>
      <c r="H52" s="8">
        <f t="shared" si="76"/>
        <v>3</v>
      </c>
      <c r="I52" s="9"/>
      <c r="J52" s="9"/>
      <c r="K52" s="9"/>
      <c r="L52" s="9"/>
      <c r="M52" s="9"/>
      <c r="N52" s="9"/>
      <c r="O52" s="9"/>
      <c r="P52" s="14">
        <f t="shared" si="4"/>
        <v>1.414213562</v>
      </c>
      <c r="Q52" s="14">
        <f t="shared" si="5"/>
        <v>0</v>
      </c>
      <c r="R52" s="14">
        <f t="shared" si="6"/>
        <v>2.645751311</v>
      </c>
      <c r="S52" s="14">
        <f t="shared" si="7"/>
        <v>5</v>
      </c>
      <c r="T52" s="14">
        <f t="shared" si="8"/>
        <v>1.414213562</v>
      </c>
      <c r="U52" s="14">
        <f t="shared" si="9"/>
        <v>2</v>
      </c>
      <c r="V52" s="9"/>
      <c r="W52" s="15" t="str">
        <f t="shared" si="10"/>
        <v/>
      </c>
      <c r="X52" s="15" t="str">
        <f t="shared" si="11"/>
        <v/>
      </c>
      <c r="Y52" s="15" t="str">
        <f t="shared" si="12"/>
        <v/>
      </c>
      <c r="Z52" s="15" t="str">
        <f t="shared" si="13"/>
        <v/>
      </c>
      <c r="AA52" s="15">
        <f t="shared" si="14"/>
        <v>1</v>
      </c>
      <c r="AB52" s="15">
        <f t="shared" si="15"/>
        <v>2</v>
      </c>
      <c r="AC52" s="15">
        <f t="shared" si="16"/>
        <v>5</v>
      </c>
      <c r="AD52" s="15" t="str">
        <f t="shared" si="17"/>
        <v/>
      </c>
      <c r="AE52" s="15" t="str">
        <f t="shared" si="18"/>
        <v/>
      </c>
      <c r="AF52" s="15" t="str">
        <f t="shared" si="19"/>
        <v/>
      </c>
      <c r="AG52" s="15" t="str">
        <f t="shared" si="20"/>
        <v/>
      </c>
      <c r="AH52" s="15" t="str">
        <f t="shared" si="21"/>
        <v/>
      </c>
      <c r="AI52" s="15" t="str">
        <f t="shared" si="22"/>
        <v/>
      </c>
      <c r="AJ52" s="15" t="str">
        <f t="shared" si="23"/>
        <v/>
      </c>
      <c r="AK52" s="15" t="str">
        <f t="shared" si="24"/>
        <v/>
      </c>
      <c r="AL52" s="15" t="str">
        <f t="shared" si="25"/>
        <v/>
      </c>
      <c r="AM52" s="15" t="str">
        <f t="shared" si="26"/>
        <v/>
      </c>
      <c r="AN52" s="15" t="str">
        <f t="shared" si="27"/>
        <v/>
      </c>
      <c r="AO52" s="15" t="str">
        <f t="shared" si="28"/>
        <v/>
      </c>
      <c r="AP52" s="15" t="str">
        <f t="shared" si="29"/>
        <v/>
      </c>
    </row>
    <row r="53" ht="12.75" customHeight="1">
      <c r="A53" s="7" t="s">
        <v>10</v>
      </c>
      <c r="B53" s="7" t="s">
        <v>10</v>
      </c>
      <c r="C53" s="7" t="s">
        <v>15</v>
      </c>
      <c r="D53" s="7" t="s">
        <v>15</v>
      </c>
      <c r="E53" s="8">
        <f t="shared" ref="E53:H53" si="77">IF(A53="&lt; Rp10.000",1,
IF(A53="Rp10.000 – Rp20.000",2,
IF(A53="Rp21.000 – Rp35.000",3,
IF(A53="Rp36.000 – Rp50.000",4,
IF(A53="&gt; Rp50.000",5,"")))))</f>
        <v>2</v>
      </c>
      <c r="F53" s="8">
        <f t="shared" si="77"/>
        <v>2</v>
      </c>
      <c r="G53" s="8">
        <f t="shared" si="77"/>
        <v>3</v>
      </c>
      <c r="H53" s="8">
        <f t="shared" si="77"/>
        <v>3</v>
      </c>
      <c r="I53" s="9"/>
      <c r="J53" s="9"/>
      <c r="K53" s="9"/>
      <c r="L53" s="9"/>
      <c r="M53" s="9"/>
      <c r="N53" s="9"/>
      <c r="O53" s="9"/>
      <c r="P53" s="14">
        <f t="shared" si="4"/>
        <v>2.449489743</v>
      </c>
      <c r="Q53" s="14">
        <f t="shared" si="5"/>
        <v>1.414213562</v>
      </c>
      <c r="R53" s="14">
        <f t="shared" si="6"/>
        <v>2.236067977</v>
      </c>
      <c r="S53" s="14">
        <f t="shared" si="7"/>
        <v>4.582575695</v>
      </c>
      <c r="T53" s="14">
        <f t="shared" si="8"/>
        <v>0</v>
      </c>
      <c r="U53" s="14">
        <f t="shared" si="9"/>
        <v>5</v>
      </c>
      <c r="V53" s="9"/>
      <c r="W53" s="15" t="str">
        <f t="shared" si="10"/>
        <v/>
      </c>
      <c r="X53" s="15" t="str">
        <f t="shared" si="11"/>
        <v/>
      </c>
      <c r="Y53" s="15" t="str">
        <f t="shared" si="12"/>
        <v/>
      </c>
      <c r="Z53" s="15" t="str">
        <f t="shared" si="13"/>
        <v/>
      </c>
      <c r="AA53" s="15" t="str">
        <f t="shared" si="14"/>
        <v/>
      </c>
      <c r="AB53" s="15" t="str">
        <f t="shared" si="15"/>
        <v/>
      </c>
      <c r="AC53" s="15" t="str">
        <f t="shared" si="16"/>
        <v/>
      </c>
      <c r="AD53" s="15" t="str">
        <f t="shared" si="17"/>
        <v/>
      </c>
      <c r="AE53" s="15" t="str">
        <f t="shared" si="18"/>
        <v/>
      </c>
      <c r="AF53" s="15" t="str">
        <f t="shared" si="19"/>
        <v/>
      </c>
      <c r="AG53" s="15" t="str">
        <f t="shared" si="20"/>
        <v/>
      </c>
      <c r="AH53" s="15" t="str">
        <f t="shared" si="21"/>
        <v/>
      </c>
      <c r="AI53" s="15" t="str">
        <f t="shared" si="22"/>
        <v/>
      </c>
      <c r="AJ53" s="15" t="str">
        <f t="shared" si="23"/>
        <v/>
      </c>
      <c r="AK53" s="15" t="str">
        <f t="shared" si="24"/>
        <v/>
      </c>
      <c r="AL53" s="15" t="str">
        <f t="shared" si="25"/>
        <v/>
      </c>
      <c r="AM53" s="15">
        <f t="shared" si="26"/>
        <v>2</v>
      </c>
      <c r="AN53" s="15">
        <f t="shared" si="27"/>
        <v>2</v>
      </c>
      <c r="AO53" s="15">
        <f t="shared" si="28"/>
        <v>5</v>
      </c>
      <c r="AP53" s="15">
        <f t="shared" si="29"/>
        <v>3</v>
      </c>
    </row>
    <row r="54" ht="12.75" customHeight="1">
      <c r="A54" s="7" t="s">
        <v>15</v>
      </c>
      <c r="B54" s="7" t="s">
        <v>10</v>
      </c>
      <c r="C54" s="7" t="s">
        <v>12</v>
      </c>
      <c r="D54" s="7" t="s">
        <v>18</v>
      </c>
      <c r="E54" s="8">
        <f t="shared" ref="E54:H54" si="78">IF(A54="&lt; Rp10.000",1,
IF(A54="Rp10.000 – Rp20.000",2,
IF(A54="Rp21.000 – Rp35.000",3,
IF(A54="Rp36.000 – Rp50.000",4,
IF(A54="&gt; Rp50.000",5,"")))))</f>
        <v>3</v>
      </c>
      <c r="F54" s="8">
        <f t="shared" si="78"/>
        <v>2</v>
      </c>
      <c r="G54" s="8">
        <f t="shared" si="78"/>
        <v>5</v>
      </c>
      <c r="H54" s="8">
        <f t="shared" si="78"/>
        <v>4</v>
      </c>
      <c r="I54" s="9"/>
      <c r="J54" s="9"/>
      <c r="K54" s="9"/>
      <c r="L54" s="9"/>
      <c r="M54" s="9"/>
      <c r="N54" s="9"/>
      <c r="O54" s="9"/>
      <c r="P54" s="14">
        <f t="shared" si="4"/>
        <v>3.16227766</v>
      </c>
      <c r="Q54" s="14">
        <f t="shared" si="5"/>
        <v>2.449489743</v>
      </c>
      <c r="R54" s="14">
        <f t="shared" si="6"/>
        <v>1</v>
      </c>
      <c r="S54" s="14">
        <f t="shared" si="7"/>
        <v>3</v>
      </c>
      <c r="T54" s="14">
        <f t="shared" si="8"/>
        <v>2</v>
      </c>
      <c r="U54" s="14">
        <f t="shared" si="9"/>
        <v>3</v>
      </c>
      <c r="V54" s="9"/>
      <c r="W54" s="15" t="str">
        <f t="shared" si="10"/>
        <v/>
      </c>
      <c r="X54" s="15" t="str">
        <f t="shared" si="11"/>
        <v/>
      </c>
      <c r="Y54" s="15" t="str">
        <f t="shared" si="12"/>
        <v/>
      </c>
      <c r="Z54" s="15" t="str">
        <f t="shared" si="13"/>
        <v/>
      </c>
      <c r="AA54" s="15" t="str">
        <f t="shared" si="14"/>
        <v/>
      </c>
      <c r="AB54" s="15" t="str">
        <f t="shared" si="15"/>
        <v/>
      </c>
      <c r="AC54" s="15" t="str">
        <f t="shared" si="16"/>
        <v/>
      </c>
      <c r="AD54" s="15" t="str">
        <f t="shared" si="17"/>
        <v/>
      </c>
      <c r="AE54" s="15">
        <f t="shared" si="18"/>
        <v>2</v>
      </c>
      <c r="AF54" s="15">
        <f t="shared" si="19"/>
        <v>2</v>
      </c>
      <c r="AG54" s="15">
        <f t="shared" si="20"/>
        <v>3</v>
      </c>
      <c r="AH54" s="15">
        <f t="shared" si="21"/>
        <v>3</v>
      </c>
      <c r="AI54" s="15" t="str">
        <f t="shared" si="22"/>
        <v/>
      </c>
      <c r="AJ54" s="15" t="str">
        <f t="shared" si="23"/>
        <v/>
      </c>
      <c r="AK54" s="15" t="str">
        <f t="shared" si="24"/>
        <v/>
      </c>
      <c r="AL54" s="15" t="str">
        <f t="shared" si="25"/>
        <v/>
      </c>
      <c r="AM54" s="15" t="str">
        <f t="shared" si="26"/>
        <v/>
      </c>
      <c r="AN54" s="15" t="str">
        <f t="shared" si="27"/>
        <v/>
      </c>
      <c r="AO54" s="15" t="str">
        <f t="shared" si="28"/>
        <v/>
      </c>
      <c r="AP54" s="15" t="str">
        <f t="shared" si="29"/>
        <v/>
      </c>
    </row>
    <row r="55" ht="12.75" customHeight="1">
      <c r="A55" s="7" t="s">
        <v>15</v>
      </c>
      <c r="B55" s="7" t="s">
        <v>10</v>
      </c>
      <c r="C55" s="7" t="s">
        <v>15</v>
      </c>
      <c r="D55" s="7" t="s">
        <v>12</v>
      </c>
      <c r="E55" s="8">
        <f t="shared" ref="E55:H55" si="79">IF(A55="&lt; Rp10.000",1,
IF(A55="Rp10.000 – Rp20.000",2,
IF(A55="Rp21.000 – Rp35.000",3,
IF(A55="Rp36.000 – Rp50.000",4,
IF(A55="&gt; Rp50.000",5,"")))))</f>
        <v>3</v>
      </c>
      <c r="F55" s="8">
        <f t="shared" si="79"/>
        <v>2</v>
      </c>
      <c r="G55" s="8">
        <f t="shared" si="79"/>
        <v>3</v>
      </c>
      <c r="H55" s="8">
        <f t="shared" si="79"/>
        <v>5</v>
      </c>
      <c r="I55" s="9"/>
      <c r="J55" s="9"/>
      <c r="K55" s="9"/>
      <c r="L55" s="9"/>
      <c r="M55" s="9"/>
      <c r="N55" s="9"/>
      <c r="O55" s="9"/>
      <c r="P55" s="14">
        <f t="shared" si="4"/>
        <v>2.449489743</v>
      </c>
      <c r="Q55" s="14">
        <f t="shared" si="5"/>
        <v>2</v>
      </c>
      <c r="R55" s="14">
        <f t="shared" si="6"/>
        <v>2.645751311</v>
      </c>
      <c r="S55" s="14">
        <f t="shared" si="7"/>
        <v>5.385164807</v>
      </c>
      <c r="T55" s="14">
        <f t="shared" si="8"/>
        <v>1.414213562</v>
      </c>
      <c r="U55" s="14">
        <f t="shared" si="9"/>
        <v>5</v>
      </c>
      <c r="V55" s="9"/>
      <c r="W55" s="15" t="str">
        <f t="shared" si="10"/>
        <v/>
      </c>
      <c r="X55" s="15" t="str">
        <f t="shared" si="11"/>
        <v/>
      </c>
      <c r="Y55" s="15" t="str">
        <f t="shared" si="12"/>
        <v/>
      </c>
      <c r="Z55" s="15" t="str">
        <f t="shared" si="13"/>
        <v/>
      </c>
      <c r="AA55" s="15" t="str">
        <f t="shared" si="14"/>
        <v/>
      </c>
      <c r="AB55" s="15" t="str">
        <f t="shared" si="15"/>
        <v/>
      </c>
      <c r="AC55" s="15" t="str">
        <f t="shared" si="16"/>
        <v/>
      </c>
      <c r="AD55" s="15" t="str">
        <f t="shared" si="17"/>
        <v/>
      </c>
      <c r="AE55" s="15" t="str">
        <f t="shared" si="18"/>
        <v/>
      </c>
      <c r="AF55" s="15" t="str">
        <f t="shared" si="19"/>
        <v/>
      </c>
      <c r="AG55" s="15" t="str">
        <f t="shared" si="20"/>
        <v/>
      </c>
      <c r="AH55" s="15" t="str">
        <f t="shared" si="21"/>
        <v/>
      </c>
      <c r="AI55" s="15" t="str">
        <f t="shared" si="22"/>
        <v/>
      </c>
      <c r="AJ55" s="15" t="str">
        <f t="shared" si="23"/>
        <v/>
      </c>
      <c r="AK55" s="15" t="str">
        <f t="shared" si="24"/>
        <v/>
      </c>
      <c r="AL55" s="15" t="str">
        <f t="shared" si="25"/>
        <v/>
      </c>
      <c r="AM55" s="15">
        <f t="shared" si="26"/>
        <v>3</v>
      </c>
      <c r="AN55" s="15">
        <f t="shared" si="27"/>
        <v>2</v>
      </c>
      <c r="AO55" s="15">
        <f t="shared" si="28"/>
        <v>5</v>
      </c>
      <c r="AP55" s="15">
        <f t="shared" si="29"/>
        <v>4</v>
      </c>
    </row>
    <row r="56" ht="12.75" customHeight="1">
      <c r="A56" s="7" t="s">
        <v>11</v>
      </c>
      <c r="B56" s="7" t="s">
        <v>11</v>
      </c>
      <c r="C56" s="7" t="s">
        <v>18</v>
      </c>
      <c r="D56" s="7" t="s">
        <v>11</v>
      </c>
      <c r="E56" s="8">
        <f t="shared" ref="E56:H56" si="80">IF(A56="&lt; Rp10.000",1,
IF(A56="Rp10.000 – Rp20.000",2,
IF(A56="Rp21.000 – Rp35.000",3,
IF(A56="Rp36.000 – Rp50.000",4,
IF(A56="&gt; Rp50.000",5,"")))))</f>
        <v>1</v>
      </c>
      <c r="F56" s="8">
        <f t="shared" si="80"/>
        <v>1</v>
      </c>
      <c r="G56" s="8">
        <f t="shared" si="80"/>
        <v>4</v>
      </c>
      <c r="H56" s="8">
        <f t="shared" si="80"/>
        <v>1</v>
      </c>
      <c r="I56" s="9"/>
      <c r="J56" s="9"/>
      <c r="K56" s="9"/>
      <c r="L56" s="9"/>
      <c r="M56" s="9"/>
      <c r="N56" s="9"/>
      <c r="O56" s="9"/>
      <c r="P56" s="14">
        <f t="shared" si="4"/>
        <v>3</v>
      </c>
      <c r="Q56" s="14">
        <f t="shared" si="5"/>
        <v>3</v>
      </c>
      <c r="R56" s="14">
        <f t="shared" si="6"/>
        <v>2.449489743</v>
      </c>
      <c r="S56" s="14">
        <f t="shared" si="7"/>
        <v>4.898979486</v>
      </c>
      <c r="T56" s="14">
        <f t="shared" si="8"/>
        <v>3</v>
      </c>
      <c r="U56" s="14">
        <f t="shared" si="9"/>
        <v>3</v>
      </c>
      <c r="V56" s="9"/>
      <c r="W56" s="15" t="str">
        <f t="shared" si="10"/>
        <v/>
      </c>
      <c r="X56" s="15" t="str">
        <f t="shared" si="11"/>
        <v/>
      </c>
      <c r="Y56" s="15" t="str">
        <f t="shared" si="12"/>
        <v/>
      </c>
      <c r="Z56" s="15" t="str">
        <f t="shared" si="13"/>
        <v/>
      </c>
      <c r="AA56" s="15" t="str">
        <f t="shared" si="14"/>
        <v/>
      </c>
      <c r="AB56" s="15" t="str">
        <f t="shared" si="15"/>
        <v/>
      </c>
      <c r="AC56" s="15" t="str">
        <f t="shared" si="16"/>
        <v/>
      </c>
      <c r="AD56" s="15" t="str">
        <f t="shared" si="17"/>
        <v/>
      </c>
      <c r="AE56" s="15">
        <f t="shared" si="18"/>
        <v>3</v>
      </c>
      <c r="AF56" s="15">
        <f t="shared" si="19"/>
        <v>2</v>
      </c>
      <c r="AG56" s="15">
        <f t="shared" si="20"/>
        <v>3</v>
      </c>
      <c r="AH56" s="15">
        <f t="shared" si="21"/>
        <v>5</v>
      </c>
      <c r="AI56" s="15" t="str">
        <f t="shared" si="22"/>
        <v/>
      </c>
      <c r="AJ56" s="15" t="str">
        <f t="shared" si="23"/>
        <v/>
      </c>
      <c r="AK56" s="15" t="str">
        <f t="shared" si="24"/>
        <v/>
      </c>
      <c r="AL56" s="15" t="str">
        <f t="shared" si="25"/>
        <v/>
      </c>
      <c r="AM56" s="15" t="str">
        <f t="shared" si="26"/>
        <v/>
      </c>
      <c r="AN56" s="15" t="str">
        <f t="shared" si="27"/>
        <v/>
      </c>
      <c r="AO56" s="15" t="str">
        <f t="shared" si="28"/>
        <v/>
      </c>
      <c r="AP56" s="15" t="str">
        <f t="shared" si="29"/>
        <v/>
      </c>
    </row>
    <row r="57" ht="12.75" customHeight="1">
      <c r="A57" s="7" t="s">
        <v>11</v>
      </c>
      <c r="B57" s="7" t="s">
        <v>10</v>
      </c>
      <c r="C57" s="7" t="s">
        <v>15</v>
      </c>
      <c r="D57" s="7" t="s">
        <v>15</v>
      </c>
      <c r="E57" s="8">
        <f t="shared" ref="E57:H57" si="81">IF(A57="&lt; Rp10.000",1,
IF(A57="Rp10.000 – Rp20.000",2,
IF(A57="Rp21.000 – Rp35.000",3,
IF(A57="Rp36.000 – Rp50.000",4,
IF(A57="&gt; Rp50.000",5,"")))))</f>
        <v>1</v>
      </c>
      <c r="F57" s="8">
        <f t="shared" si="81"/>
        <v>2</v>
      </c>
      <c r="G57" s="8">
        <f t="shared" si="81"/>
        <v>3</v>
      </c>
      <c r="H57" s="8">
        <f t="shared" si="81"/>
        <v>3</v>
      </c>
      <c r="I57" s="9"/>
      <c r="J57" s="9"/>
      <c r="K57" s="9"/>
      <c r="L57" s="9"/>
      <c r="M57" s="9"/>
      <c r="N57" s="9"/>
      <c r="O57" s="9"/>
      <c r="P57" s="14">
        <f t="shared" si="4"/>
        <v>4.582575695</v>
      </c>
      <c r="Q57" s="14">
        <f t="shared" si="5"/>
        <v>3.31662479</v>
      </c>
      <c r="R57" s="14">
        <f t="shared" si="6"/>
        <v>3.16227766</v>
      </c>
      <c r="S57" s="14">
        <f t="shared" si="7"/>
        <v>3.16227766</v>
      </c>
      <c r="T57" s="14">
        <f t="shared" si="8"/>
        <v>2.645751311</v>
      </c>
      <c r="U57" s="14">
        <f t="shared" si="9"/>
        <v>5</v>
      </c>
      <c r="V57" s="9"/>
      <c r="W57" s="15" t="str">
        <f t="shared" si="10"/>
        <v/>
      </c>
      <c r="X57" s="15" t="str">
        <f t="shared" si="11"/>
        <v/>
      </c>
      <c r="Y57" s="15" t="str">
        <f t="shared" si="12"/>
        <v/>
      </c>
      <c r="Z57" s="15" t="str">
        <f t="shared" si="13"/>
        <v/>
      </c>
      <c r="AA57" s="15" t="str">
        <f t="shared" si="14"/>
        <v/>
      </c>
      <c r="AB57" s="15" t="str">
        <f t="shared" si="15"/>
        <v/>
      </c>
      <c r="AC57" s="15" t="str">
        <f t="shared" si="16"/>
        <v/>
      </c>
      <c r="AD57" s="15" t="str">
        <f t="shared" si="17"/>
        <v/>
      </c>
      <c r="AE57" s="15" t="str">
        <f t="shared" si="18"/>
        <v/>
      </c>
      <c r="AF57" s="15" t="str">
        <f t="shared" si="19"/>
        <v/>
      </c>
      <c r="AG57" s="15" t="str">
        <f t="shared" si="20"/>
        <v/>
      </c>
      <c r="AH57" s="15" t="str">
        <f t="shared" si="21"/>
        <v/>
      </c>
      <c r="AI57" s="15" t="str">
        <f t="shared" si="22"/>
        <v/>
      </c>
      <c r="AJ57" s="15" t="str">
        <f t="shared" si="23"/>
        <v/>
      </c>
      <c r="AK57" s="15" t="str">
        <f t="shared" si="24"/>
        <v/>
      </c>
      <c r="AL57" s="15" t="str">
        <f t="shared" si="25"/>
        <v/>
      </c>
      <c r="AM57" s="15">
        <f t="shared" si="26"/>
        <v>1</v>
      </c>
      <c r="AN57" s="15">
        <f t="shared" si="27"/>
        <v>1</v>
      </c>
      <c r="AO57" s="15">
        <f t="shared" si="28"/>
        <v>4</v>
      </c>
      <c r="AP57" s="15">
        <f t="shared" si="29"/>
        <v>1</v>
      </c>
    </row>
    <row r="58" ht="12.75" customHeight="1">
      <c r="A58" s="7" t="s">
        <v>11</v>
      </c>
      <c r="B58" s="7" t="s">
        <v>10</v>
      </c>
      <c r="C58" s="7" t="s">
        <v>10</v>
      </c>
      <c r="D58" s="7" t="s">
        <v>10</v>
      </c>
      <c r="E58" s="8">
        <f t="shared" ref="E58:H58" si="82">IF(A58="&lt; Rp10.000",1,
IF(A58="Rp10.000 – Rp20.000",2,
IF(A58="Rp21.000 – Rp35.000",3,
IF(A58="Rp36.000 – Rp50.000",4,
IF(A58="&gt; Rp50.000",5,"")))))</f>
        <v>1</v>
      </c>
      <c r="F58" s="8">
        <f t="shared" si="82"/>
        <v>2</v>
      </c>
      <c r="G58" s="8">
        <f t="shared" si="82"/>
        <v>2</v>
      </c>
      <c r="H58" s="8">
        <f t="shared" si="82"/>
        <v>2</v>
      </c>
      <c r="I58" s="9"/>
      <c r="J58" s="9"/>
      <c r="K58" s="9"/>
      <c r="L58" s="9"/>
      <c r="M58" s="9"/>
      <c r="N58" s="9"/>
      <c r="O58" s="9"/>
      <c r="P58" s="14">
        <f t="shared" si="4"/>
        <v>3</v>
      </c>
      <c r="Q58" s="14">
        <f t="shared" si="5"/>
        <v>2.236067977</v>
      </c>
      <c r="R58" s="14">
        <f t="shared" si="6"/>
        <v>1.414213562</v>
      </c>
      <c r="S58" s="14">
        <f t="shared" si="7"/>
        <v>2.828427125</v>
      </c>
      <c r="T58" s="14">
        <f t="shared" si="8"/>
        <v>2.236067977</v>
      </c>
      <c r="U58" s="14">
        <f t="shared" si="9"/>
        <v>3</v>
      </c>
      <c r="V58" s="9"/>
      <c r="W58" s="15" t="str">
        <f t="shared" si="10"/>
        <v/>
      </c>
      <c r="X58" s="15" t="str">
        <f t="shared" si="11"/>
        <v/>
      </c>
      <c r="Y58" s="15" t="str">
        <f t="shared" si="12"/>
        <v/>
      </c>
      <c r="Z58" s="15" t="str">
        <f t="shared" si="13"/>
        <v/>
      </c>
      <c r="AA58" s="15" t="str">
        <f t="shared" si="14"/>
        <v/>
      </c>
      <c r="AB58" s="15" t="str">
        <f t="shared" si="15"/>
        <v/>
      </c>
      <c r="AC58" s="15" t="str">
        <f t="shared" si="16"/>
        <v/>
      </c>
      <c r="AD58" s="15" t="str">
        <f t="shared" si="17"/>
        <v/>
      </c>
      <c r="AE58" s="15">
        <f t="shared" si="18"/>
        <v>1</v>
      </c>
      <c r="AF58" s="15">
        <f t="shared" si="19"/>
        <v>2</v>
      </c>
      <c r="AG58" s="15">
        <f t="shared" si="20"/>
        <v>3</v>
      </c>
      <c r="AH58" s="15">
        <f t="shared" si="21"/>
        <v>3</v>
      </c>
      <c r="AI58" s="15"/>
      <c r="AJ58" s="15"/>
      <c r="AK58" s="15"/>
      <c r="AL58" s="15"/>
      <c r="AM58" s="15" t="str">
        <f t="shared" si="26"/>
        <v/>
      </c>
      <c r="AN58" s="15" t="str">
        <f t="shared" si="27"/>
        <v/>
      </c>
      <c r="AO58" s="15" t="str">
        <f t="shared" si="28"/>
        <v/>
      </c>
      <c r="AP58" s="15" t="str">
        <f t="shared" si="29"/>
        <v/>
      </c>
    </row>
    <row r="59" ht="12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V59" s="17" t="s">
        <v>144</v>
      </c>
      <c r="W59" s="18">
        <f t="shared" ref="W59:AL59" si="83">AVERAGE(W5:W58)</f>
        <v>1.266666667</v>
      </c>
      <c r="X59" s="17">
        <f t="shared" si="83"/>
        <v>2.733333333</v>
      </c>
      <c r="Y59" s="19">
        <f t="shared" si="83"/>
        <v>4.333333333</v>
      </c>
      <c r="Z59" s="19">
        <f t="shared" si="83"/>
        <v>4.866666667</v>
      </c>
      <c r="AA59" s="19">
        <f t="shared" si="83"/>
        <v>1.111111111</v>
      </c>
      <c r="AB59" s="19">
        <f t="shared" si="83"/>
        <v>1.888888889</v>
      </c>
      <c r="AC59" s="19">
        <f t="shared" si="83"/>
        <v>4.333333333</v>
      </c>
      <c r="AD59" s="19">
        <f t="shared" si="83"/>
        <v>4.866666667</v>
      </c>
      <c r="AE59" s="20">
        <f t="shared" si="83"/>
        <v>2.0625</v>
      </c>
      <c r="AF59" s="20">
        <f t="shared" si="83"/>
        <v>2.4375</v>
      </c>
      <c r="AG59" s="20">
        <f t="shared" si="83"/>
        <v>2.4375</v>
      </c>
      <c r="AH59" s="20">
        <f t="shared" si="83"/>
        <v>3.8125</v>
      </c>
      <c r="AI59" s="20">
        <f t="shared" si="83"/>
        <v>1.5</v>
      </c>
      <c r="AJ59" s="20">
        <f t="shared" si="83"/>
        <v>1.5</v>
      </c>
      <c r="AK59" s="20">
        <f t="shared" si="83"/>
        <v>1</v>
      </c>
      <c r="AL59" s="20">
        <f t="shared" si="83"/>
        <v>2</v>
      </c>
      <c r="AM59" s="20" t="str">
        <f t="shared" si="26"/>
        <v/>
      </c>
      <c r="AN59" s="20" t="str">
        <f t="shared" si="27"/>
        <v/>
      </c>
      <c r="AO59" s="20" t="str">
        <f t="shared" si="28"/>
        <v/>
      </c>
      <c r="AP59" s="20" t="str">
        <f t="shared" si="29"/>
        <v/>
      </c>
    </row>
    <row r="60" ht="12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</row>
    <row r="61" ht="12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</row>
    <row r="62" ht="12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</row>
    <row r="63" ht="12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</row>
    <row r="64" ht="12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</row>
    <row r="65" ht="12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</row>
    <row r="66" ht="12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</row>
    <row r="67" ht="12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</row>
    <row r="68" ht="12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</row>
    <row r="69" ht="12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</row>
    <row r="70" ht="12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</row>
    <row r="71" ht="12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</row>
    <row r="72" ht="12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</row>
    <row r="73" ht="12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</row>
    <row r="74" ht="12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</row>
    <row r="75" ht="12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</row>
    <row r="76" ht="12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</row>
    <row r="77" ht="12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</row>
    <row r="78" ht="12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</row>
    <row r="79" ht="12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</row>
    <row r="80" ht="12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</row>
    <row r="81" ht="12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</row>
    <row r="82" ht="12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</row>
    <row r="83" ht="12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</row>
    <row r="84" ht="12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</row>
    <row r="85" ht="12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</row>
    <row r="86" ht="12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</row>
    <row r="87" ht="12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</row>
    <row r="88" ht="12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</row>
    <row r="89" ht="12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</row>
    <row r="90" ht="12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</row>
    <row r="91" ht="12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</row>
    <row r="92" ht="12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</row>
    <row r="93" ht="12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</row>
    <row r="94" ht="12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</row>
    <row r="95" ht="12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</row>
    <row r="96" ht="12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</row>
    <row r="97" ht="12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</row>
    <row r="98" ht="12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</row>
    <row r="99" ht="12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</row>
    <row r="100" ht="12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</row>
    <row r="101" ht="12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</row>
    <row r="102" ht="12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</row>
    <row r="103" ht="12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</row>
    <row r="104" ht="12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</row>
    <row r="105" ht="12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</row>
    <row r="106" ht="12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</row>
    <row r="107" ht="12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</row>
    <row r="108" ht="12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</row>
    <row r="109" ht="12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</row>
    <row r="110" ht="12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</row>
    <row r="111" ht="12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</row>
    <row r="112" ht="12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</row>
    <row r="113" ht="12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</row>
    <row r="114" ht="12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</row>
    <row r="115" ht="12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</row>
    <row r="116" ht="12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</row>
    <row r="117" ht="12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</row>
    <row r="118" ht="12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</row>
    <row r="119" ht="12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</row>
    <row r="120" ht="12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</row>
    <row r="121" ht="12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</row>
    <row r="122" ht="12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</row>
    <row r="123" ht="12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</row>
    <row r="124" ht="12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</row>
    <row r="125" ht="12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</row>
    <row r="126" ht="12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</row>
    <row r="127" ht="12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</row>
    <row r="128" ht="12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</row>
    <row r="129" ht="12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</row>
    <row r="130" ht="12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</row>
    <row r="131" ht="12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</row>
    <row r="132" ht="12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</row>
    <row r="133" ht="12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</row>
    <row r="134" ht="12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</row>
    <row r="135" ht="12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</row>
    <row r="136" ht="12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</row>
    <row r="137" ht="12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</row>
    <row r="138" ht="12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</row>
    <row r="139" ht="12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</row>
    <row r="140" ht="12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</row>
    <row r="141" ht="12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</row>
    <row r="142" ht="12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</row>
    <row r="143" ht="12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</row>
    <row r="144" ht="12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</row>
    <row r="145" ht="12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</row>
    <row r="146" ht="12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</row>
    <row r="147" ht="12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</row>
    <row r="148" ht="12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</row>
    <row r="149" ht="12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</row>
    <row r="150" ht="12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</row>
    <row r="151" ht="12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</row>
    <row r="152" ht="12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</row>
    <row r="153" ht="12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</row>
    <row r="154" ht="12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</row>
    <row r="155" ht="12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</row>
    <row r="156" ht="12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</row>
    <row r="157" ht="12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</row>
    <row r="158" ht="12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</row>
    <row r="159" ht="12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</row>
    <row r="160" ht="12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</row>
    <row r="161" ht="12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</row>
    <row r="162" ht="12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</row>
    <row r="163" ht="12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</row>
    <row r="164" ht="12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</row>
    <row r="165" ht="12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</row>
    <row r="166" ht="12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</row>
    <row r="167" ht="12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</row>
    <row r="168" ht="12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</row>
    <row r="169" ht="12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</row>
    <row r="170" ht="12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</row>
    <row r="171" ht="12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</row>
    <row r="172" ht="12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</row>
    <row r="173" ht="12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</row>
    <row r="174" ht="12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</row>
    <row r="175" ht="12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</row>
    <row r="176" ht="12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</row>
    <row r="177" ht="12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</row>
    <row r="178" ht="12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</row>
    <row r="179" ht="12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</row>
    <row r="180" ht="12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</row>
    <row r="181" ht="12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</row>
    <row r="182" ht="12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</row>
    <row r="183" ht="12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</row>
    <row r="184" ht="12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</row>
    <row r="185" ht="12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</row>
    <row r="186" ht="12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</row>
    <row r="187" ht="12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</row>
    <row r="188" ht="12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</row>
    <row r="189" ht="12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</row>
    <row r="190" ht="12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</row>
    <row r="191" ht="12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</row>
    <row r="192" ht="12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</row>
    <row r="193" ht="12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</row>
    <row r="194" ht="12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</row>
    <row r="195" ht="12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</row>
    <row r="196" ht="12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</row>
    <row r="197" ht="12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</row>
    <row r="198" ht="12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</row>
    <row r="199" ht="12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</row>
    <row r="200" ht="12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</row>
    <row r="201" ht="12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</row>
    <row r="202" ht="12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</row>
    <row r="203" ht="12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</row>
    <row r="204" ht="12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</row>
    <row r="205" ht="12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</row>
    <row r="206" ht="12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</row>
    <row r="207" ht="12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</row>
    <row r="208" ht="12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</row>
    <row r="209" ht="12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</row>
    <row r="210" ht="12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</row>
    <row r="211" ht="12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</row>
    <row r="212" ht="12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</row>
    <row r="213" ht="12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</row>
    <row r="214" ht="12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</row>
    <row r="215" ht="12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</row>
    <row r="216" ht="12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</row>
    <row r="217" ht="12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</row>
    <row r="218" ht="12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</row>
    <row r="219" ht="12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</row>
    <row r="220" ht="12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</row>
    <row r="221" ht="12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</row>
    <row r="222" ht="12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</row>
    <row r="223" ht="12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</row>
    <row r="224" ht="12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</row>
    <row r="225" ht="12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</row>
    <row r="226" ht="12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</row>
    <row r="227" ht="12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</row>
    <row r="228" ht="12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</row>
    <row r="229" ht="12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</row>
    <row r="230" ht="12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</row>
    <row r="231" ht="12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</row>
    <row r="232" ht="12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</row>
    <row r="233" ht="12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</row>
    <row r="234" ht="12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</row>
    <row r="235" ht="12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</row>
    <row r="236" ht="12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</row>
    <row r="237" ht="12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</row>
    <row r="238" ht="12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</row>
    <row r="239" ht="12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</row>
    <row r="240" ht="12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</row>
    <row r="241" ht="12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</row>
    <row r="242" ht="12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</row>
    <row r="243" ht="12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</row>
    <row r="244" ht="12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</row>
    <row r="245" ht="12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</row>
    <row r="246" ht="12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</row>
    <row r="247" ht="12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</row>
    <row r="248" ht="12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</row>
    <row r="249" ht="12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</row>
    <row r="250" ht="12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</row>
    <row r="251" ht="12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</row>
    <row r="252" ht="12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</row>
    <row r="253" ht="12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</row>
    <row r="254" ht="12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</row>
    <row r="255" ht="12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</row>
    <row r="256" ht="12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</row>
    <row r="257" ht="12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</row>
    <row r="258" ht="12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</row>
    <row r="259" ht="12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</row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P2:U2"/>
    <mergeCell ref="W2:AP2"/>
    <mergeCell ref="W3:Z3"/>
    <mergeCell ref="AA3:AD3"/>
    <mergeCell ref="AE3:AH3"/>
    <mergeCell ref="AI3:AL3"/>
    <mergeCell ref="AM3:AP3"/>
  </mergeCells>
  <conditionalFormatting sqref="A1:H58">
    <cfRule type="colorScale" priority="1">
      <colorScale>
        <cfvo type="min"/>
        <cfvo type="max"/>
        <color rgb="FFFFFFFF"/>
        <color rgb="FF57BB8A"/>
      </colorScale>
    </cfRule>
  </conditionalFormatting>
  <printOptions/>
  <pageMargins bottom="1.025" footer="0.0" header="0.0" left="0.7875" right="0.7875" top="1.025"/>
  <pageSetup orientation="portrait"/>
  <headerFooter>
    <oddHeader>&amp;Cffffff&amp;A</oddHeader>
    <oddFooter>&amp;CffffffPage &amp;P</oddFooter>
  </headerFooter>
  <drawing r:id="rId1"/>
</worksheet>
</file>